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A2C14EE1-4B79-42E9-BDAE-F5480B7526F3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23년)_부피" sheetId="8" r:id="rId1"/>
    <sheet name="(2023년)_열량" sheetId="7" r:id="rId2"/>
  </sheets>
  <definedNames>
    <definedName name="_xlnm.Print_Area" localSheetId="0">'(2023년)_부피'!$A$1:$AJ$81</definedName>
    <definedName name="_xlnm.Print_Area" localSheetId="1">'(2023년)_열량'!$A$1:$AJ$81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4" i="8" l="1"/>
  <c r="AE65" i="8" s="1"/>
  <c r="AC64" i="8"/>
  <c r="AC65" i="8" s="1"/>
  <c r="AB64" i="8"/>
  <c r="AB65" i="8" s="1"/>
  <c r="V64" i="8"/>
  <c r="V65" i="8" s="1"/>
  <c r="U64" i="8"/>
  <c r="U65" i="8" s="1"/>
  <c r="T64" i="8"/>
  <c r="T65" i="8" s="1"/>
  <c r="AH52" i="8"/>
  <c r="AH64" i="8" s="1"/>
  <c r="AH65" i="8" s="1"/>
  <c r="AG52" i="8"/>
  <c r="AG64" i="8" s="1"/>
  <c r="AG65" i="8" s="1"/>
  <c r="AF52" i="8"/>
  <c r="AF64" i="8" s="1"/>
  <c r="AF65" i="8" s="1"/>
  <c r="AE52" i="8"/>
  <c r="AD52" i="8"/>
  <c r="AD64" i="8" s="1"/>
  <c r="AD65" i="8" s="1"/>
  <c r="AC52" i="8"/>
  <c r="AB52" i="8"/>
  <c r="AA52" i="8"/>
  <c r="AA64" i="8" s="1"/>
  <c r="AA65" i="8" s="1"/>
  <c r="Z52" i="8"/>
  <c r="Z64" i="8" s="1"/>
  <c r="Z65" i="8" s="1"/>
  <c r="Y52" i="8"/>
  <c r="Y64" i="8" s="1"/>
  <c r="Y65" i="8" s="1"/>
  <c r="X52" i="8"/>
  <c r="X64" i="8" s="1"/>
  <c r="X65" i="8" s="1"/>
  <c r="W52" i="8"/>
  <c r="W64" i="8" s="1"/>
  <c r="W65" i="8" s="1"/>
  <c r="V52" i="8"/>
  <c r="U52" i="8"/>
  <c r="T52" i="8"/>
  <c r="S52" i="8"/>
  <c r="S64" i="8" s="1"/>
  <c r="S65" i="8" s="1"/>
  <c r="Z64" i="7"/>
  <c r="Z65" i="7" s="1"/>
  <c r="X64" i="7"/>
  <c r="X65" i="7" s="1"/>
  <c r="U64" i="7"/>
  <c r="U65" i="7" s="1"/>
  <c r="S64" i="7"/>
  <c r="S65" i="7" s="1"/>
  <c r="AH52" i="7"/>
  <c r="AH64" i="7" s="1"/>
  <c r="AH65" i="7" s="1"/>
  <c r="AG52" i="7"/>
  <c r="AG64" i="7" s="1"/>
  <c r="AG65" i="7" s="1"/>
  <c r="AF52" i="7"/>
  <c r="AF64" i="7" s="1"/>
  <c r="AF65" i="7" s="1"/>
  <c r="AE52" i="7"/>
  <c r="AE64" i="7" s="1"/>
  <c r="AE65" i="7" s="1"/>
  <c r="AD52" i="7"/>
  <c r="AD64" i="7" s="1"/>
  <c r="AD65" i="7" s="1"/>
  <c r="AC52" i="7"/>
  <c r="AC64" i="7" s="1"/>
  <c r="AC65" i="7" s="1"/>
  <c r="AB52" i="7"/>
  <c r="AB64" i="7" s="1"/>
  <c r="AB65" i="7" s="1"/>
  <c r="AA52" i="7"/>
  <c r="AA64" i="7" s="1"/>
  <c r="AA65" i="7" s="1"/>
  <c r="Z52" i="7"/>
  <c r="Y52" i="7"/>
  <c r="Y64" i="7" s="1"/>
  <c r="Y65" i="7" s="1"/>
  <c r="X52" i="7"/>
  <c r="W52" i="7"/>
  <c r="W64" i="7" s="1"/>
  <c r="W65" i="7" s="1"/>
  <c r="V52" i="7"/>
  <c r="V64" i="7" s="1"/>
  <c r="V65" i="7" s="1"/>
  <c r="U52" i="7"/>
  <c r="T52" i="7"/>
  <c r="T64" i="7" s="1"/>
  <c r="T65" i="7" s="1"/>
  <c r="S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C8" authorId="0" shapeId="0" xr:uid="{75E0BB56-DEBD-448C-B318-44860CE29CE3}">
      <text>
        <r>
          <rPr>
            <sz val="9"/>
            <color indexed="81"/>
            <rFont val="돋움"/>
            <family val="3"/>
            <charset val="129"/>
          </rPr>
          <t>목동열병합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)
CHP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+ HOB 8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수요가수</t>
        </r>
        <r>
          <rPr>
            <sz val="9"/>
            <color indexed="81"/>
            <rFont val="Tahoma"/>
            <family val="2"/>
          </rPr>
          <t xml:space="preserve"> HOB 1</t>
        </r>
        <r>
          <rPr>
            <sz val="9"/>
            <color indexed="81"/>
            <rFont val="돋움"/>
            <family val="3"/>
            <charset val="129"/>
          </rPr>
          <t>개
고지서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목동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<sst xmlns="http://schemas.openxmlformats.org/spreadsheetml/2006/main" count="679" uniqueCount="99">
  <si>
    <t>구  분</t>
  </si>
  <si>
    <t>회사명</t>
  </si>
  <si>
    <t>용 도 별   수 요 가 수 (개)</t>
  </si>
  <si>
    <t>용 도 별 공 급 량 (천MJ)</t>
  </si>
  <si>
    <t>가정용</t>
  </si>
  <si>
    <t>일반용</t>
  </si>
  <si>
    <t>업무용</t>
  </si>
  <si>
    <t>산업용</t>
  </si>
  <si>
    <t>열병합
1</t>
  </si>
  <si>
    <t>열병합
2</t>
  </si>
  <si>
    <t>열전용
설비용</t>
  </si>
  <si>
    <t>수송용</t>
  </si>
  <si>
    <t>연  료
전지용</t>
  </si>
  <si>
    <t>합 계</t>
  </si>
  <si>
    <t>증감률
(%)</t>
  </si>
  <si>
    <t>구성비
(%)</t>
  </si>
  <si>
    <t>(난방)</t>
    <phoneticPr fontId="3" type="noConversion"/>
  </si>
  <si>
    <t>일반1</t>
  </si>
  <si>
    <t>일반2</t>
  </si>
  <si>
    <t>소계</t>
  </si>
  <si>
    <t>(공조용)</t>
  </si>
  <si>
    <t>취사</t>
  </si>
  <si>
    <t>난방</t>
  </si>
  <si>
    <t>공조</t>
  </si>
  <si>
    <t>서  울</t>
  </si>
  <si>
    <t>코원ES</t>
  </si>
  <si>
    <t/>
  </si>
  <si>
    <t>예스코</t>
  </si>
  <si>
    <t>서   울</t>
  </si>
  <si>
    <t>귀뚜라미</t>
  </si>
  <si>
    <t>대   륜</t>
  </si>
  <si>
    <t>소   계</t>
  </si>
  <si>
    <t>인  천</t>
  </si>
  <si>
    <t>삼천리</t>
  </si>
  <si>
    <t>인   천</t>
  </si>
  <si>
    <t>경  기</t>
  </si>
  <si>
    <t>수도권 계</t>
  </si>
  <si>
    <t>부  산</t>
  </si>
  <si>
    <t>부   산</t>
  </si>
  <si>
    <t>대  구</t>
  </si>
  <si>
    <t>대   성</t>
  </si>
  <si>
    <t>광  주</t>
  </si>
  <si>
    <t>해   양</t>
  </si>
  <si>
    <t>대  전</t>
  </si>
  <si>
    <t>CNCITY</t>
  </si>
  <si>
    <t>울  산</t>
  </si>
  <si>
    <t>경   동</t>
  </si>
  <si>
    <t>세  종</t>
  </si>
  <si>
    <t>충청ES</t>
  </si>
  <si>
    <t>J   B</t>
  </si>
  <si>
    <t>강  원</t>
  </si>
  <si>
    <t>강   원</t>
  </si>
  <si>
    <t>참빛원주</t>
  </si>
  <si>
    <t>참빛영동</t>
  </si>
  <si>
    <t>참   빛</t>
  </si>
  <si>
    <t>명   성</t>
  </si>
  <si>
    <t>충  북</t>
  </si>
  <si>
    <t>참빛충북</t>
  </si>
  <si>
    <t>충  남</t>
  </si>
  <si>
    <t>서   해</t>
  </si>
  <si>
    <t>전  북</t>
  </si>
  <si>
    <t>전   북</t>
  </si>
  <si>
    <t>군   산</t>
  </si>
  <si>
    <t>전북ES</t>
  </si>
  <si>
    <t>전  남</t>
  </si>
  <si>
    <t>전   남</t>
  </si>
  <si>
    <t>대   화</t>
  </si>
  <si>
    <t>경  북</t>
  </si>
  <si>
    <t>영남ES(구미)</t>
    <phoneticPr fontId="3" type="noConversion"/>
  </si>
  <si>
    <t>영남ES(포항)</t>
    <phoneticPr fontId="3" type="noConversion"/>
  </si>
  <si>
    <t>대성청정</t>
  </si>
  <si>
    <t>서라벌</t>
  </si>
  <si>
    <t>경  남</t>
  </si>
  <si>
    <t>경   남</t>
  </si>
  <si>
    <t>지에스이</t>
  </si>
  <si>
    <t>제  주</t>
  </si>
  <si>
    <t>제   주</t>
  </si>
  <si>
    <t>지 방 계</t>
  </si>
  <si>
    <t>전 국 계</t>
  </si>
  <si>
    <t>구성비(%)</t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</si>
  <si>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</si>
  <si>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</si>
  <si>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</si>
  <si>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</si>
  <si>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</si>
  <si>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</si>
  <si>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</si>
  <si>
    <t>해   양 (계)</t>
  </si>
  <si>
    <t>CNCITY (계)</t>
  </si>
  <si>
    <t>경   동 (계)</t>
  </si>
  <si>
    <t>충청ES (계)</t>
  </si>
  <si>
    <t>J   B (계)</t>
  </si>
  <si>
    <t>주) 1. 증감률 : 전년대비 부피단위 기준   2. 가정용의 난방 수요가수는 취사용에 포함   3. 수송용 수요가수는 충전소 개수 기준</t>
  </si>
  <si>
    <t>용 도 별 공 급 량 (천㎥)</t>
    <phoneticPr fontId="3" type="noConversion"/>
  </si>
  <si>
    <t>(난방)</t>
  </si>
  <si>
    <t>(1) 2023년 회사별·용도별 수요가수 및 공급량(열량단위)</t>
    <phoneticPr fontId="3" type="noConversion"/>
  </si>
  <si>
    <t>MC에너지</t>
  </si>
  <si>
    <t>(1) 2023년 회사별·용도별 수요가수 및 공급량(부피단위)</t>
    <phoneticPr fontId="3" type="noConversion"/>
  </si>
  <si>
    <t>2023년 공급실적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</si>
</sst>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-* #,##0.000_-;\-* #,##0.000_-;_-* &quot;-&quot;_-;_-@_-"/>
    <numFmt numFmtId="177" formatCode="#,##0_ "/>
    <numFmt numFmtId="178" formatCode="#,##0.0_ "/>
    <numFmt numFmtId="179" formatCode="#,##0.000_ "/>
    <numFmt numFmtId="180" formatCode="#,##0.00;[Red]#,##0.00"/>
    <numFmt numFmtId="181" formatCode="#,##0;[Red]#,##0"/>
    <numFmt numFmtId="182" formatCode="_-* #,##0.00_-;\-* #,##0.00_-;_-* &quot;-&quot;_-;_-@_-"/>
    <numFmt numFmtId="183" formatCode="0.0_ "/>
  </numFmts>
  <fonts count="14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6"/>
      <name val="굴림"/>
      <family val="3"/>
      <charset val="129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5" fillId="0" borderId="0" applyFont="0" applyFill="0" applyBorder="0" applyAlignment="0" applyProtection="0"/>
  </cellStyleXfs>
  <cellXfs count="180">
    <xf numFmtId="0" fontId="0" fillId="0" borderId="0" xfId="0"/>
    <xf numFmtId="176" fontId="4" fillId="0" borderId="0" xfId="3" applyNumberFormat="1" applyFont="1" applyFill="1" applyAlignment="1">
      <alignment vertical="center"/>
    </xf>
    <xf numFmtId="177" fontId="8" fillId="0" borderId="23" xfId="3" applyNumberFormat="1" applyFont="1" applyFill="1" applyBorder="1" applyAlignment="1">
      <alignment vertical="center" shrinkToFit="1"/>
    </xf>
    <xf numFmtId="177" fontId="8" fillId="0" borderId="24" xfId="3" applyNumberFormat="1" applyFont="1" applyFill="1" applyBorder="1" applyAlignment="1">
      <alignment vertical="center" shrinkToFit="1"/>
    </xf>
    <xf numFmtId="178" fontId="8" fillId="0" borderId="24" xfId="3" applyNumberFormat="1" applyFont="1" applyFill="1" applyBorder="1" applyAlignment="1">
      <alignment vertical="center" shrinkToFit="1"/>
    </xf>
    <xf numFmtId="178" fontId="8" fillId="0" borderId="22" xfId="3" applyNumberFormat="1" applyFont="1" applyFill="1" applyBorder="1" applyAlignment="1">
      <alignment vertical="center" shrinkToFit="1"/>
    </xf>
    <xf numFmtId="177" fontId="8" fillId="0" borderId="21" xfId="3" applyNumberFormat="1" applyFont="1" applyFill="1" applyBorder="1" applyAlignment="1">
      <alignment vertical="center" shrinkToFit="1"/>
    </xf>
    <xf numFmtId="177" fontId="8" fillId="0" borderId="28" xfId="3" applyNumberFormat="1" applyFont="1" applyFill="1" applyBorder="1" applyAlignment="1">
      <alignment vertical="center" shrinkToFit="1"/>
    </xf>
    <xf numFmtId="178" fontId="8" fillId="0" borderId="28" xfId="3" applyNumberFormat="1" applyFont="1" applyFill="1" applyBorder="1" applyAlignment="1">
      <alignment vertical="center" shrinkToFit="1"/>
    </xf>
    <xf numFmtId="178" fontId="8" fillId="0" borderId="27" xfId="3" applyNumberFormat="1" applyFont="1" applyFill="1" applyBorder="1" applyAlignment="1">
      <alignment vertical="center" shrinkToFit="1"/>
    </xf>
    <xf numFmtId="177" fontId="8" fillId="0" borderId="30" xfId="3" applyNumberFormat="1" applyFont="1" applyFill="1" applyBorder="1" applyAlignment="1">
      <alignment vertical="center" shrinkToFit="1"/>
    </xf>
    <xf numFmtId="177" fontId="8" fillId="0" borderId="14" xfId="3" applyNumberFormat="1" applyFont="1" applyFill="1" applyBorder="1" applyAlignment="1">
      <alignment vertical="center" shrinkToFit="1"/>
    </xf>
    <xf numFmtId="178" fontId="8" fillId="0" borderId="14" xfId="3" applyNumberFormat="1" applyFont="1" applyFill="1" applyBorder="1" applyAlignment="1">
      <alignment vertical="center" shrinkToFit="1"/>
    </xf>
    <xf numFmtId="178" fontId="8" fillId="0" borderId="29" xfId="3" applyNumberFormat="1" applyFont="1" applyFill="1" applyBorder="1" applyAlignment="1">
      <alignment vertical="center" shrinkToFit="1"/>
    </xf>
    <xf numFmtId="177" fontId="8" fillId="0" borderId="33" xfId="3" applyNumberFormat="1" applyFont="1" applyFill="1" applyBorder="1" applyAlignment="1">
      <alignment vertical="center" shrinkToFit="1"/>
    </xf>
    <xf numFmtId="177" fontId="8" fillId="0" borderId="34" xfId="3" applyNumberFormat="1" applyFont="1" applyFill="1" applyBorder="1" applyAlignment="1">
      <alignment vertical="center" shrinkToFit="1"/>
    </xf>
    <xf numFmtId="178" fontId="8" fillId="0" borderId="34" xfId="3" applyNumberFormat="1" applyFont="1" applyFill="1" applyBorder="1" applyAlignment="1">
      <alignment vertical="center" shrinkToFit="1"/>
    </xf>
    <xf numFmtId="178" fontId="8" fillId="0" borderId="32" xfId="3" applyNumberFormat="1" applyFont="1" applyFill="1" applyBorder="1" applyAlignment="1">
      <alignment vertical="center" shrinkToFit="1"/>
    </xf>
    <xf numFmtId="177" fontId="8" fillId="0" borderId="35" xfId="3" applyNumberFormat="1" applyFont="1" applyFill="1" applyBorder="1" applyAlignment="1">
      <alignment vertical="center" shrinkToFit="1"/>
    </xf>
    <xf numFmtId="177" fontId="8" fillId="0" borderId="36" xfId="3" applyNumberFormat="1" applyFont="1" applyFill="1" applyBorder="1" applyAlignment="1">
      <alignment vertical="center" shrinkToFit="1"/>
    </xf>
    <xf numFmtId="177" fontId="8" fillId="0" borderId="12" xfId="3" applyNumberFormat="1" applyFont="1" applyFill="1" applyBorder="1" applyAlignment="1">
      <alignment vertical="center" shrinkToFit="1"/>
    </xf>
    <xf numFmtId="177" fontId="8" fillId="0" borderId="9" xfId="3" applyNumberFormat="1" applyFont="1" applyFill="1" applyBorder="1" applyAlignment="1">
      <alignment vertical="center" shrinkToFit="1"/>
    </xf>
    <xf numFmtId="178" fontId="8" fillId="0" borderId="9" xfId="3" applyNumberFormat="1" applyFont="1" applyFill="1" applyBorder="1" applyAlignment="1">
      <alignment vertical="center" shrinkToFit="1"/>
    </xf>
    <xf numFmtId="178" fontId="8" fillId="0" borderId="7" xfId="3" applyNumberFormat="1" applyFont="1" applyFill="1" applyBorder="1" applyAlignment="1">
      <alignment vertical="center" shrinkToFit="1"/>
    </xf>
    <xf numFmtId="177" fontId="8" fillId="0" borderId="8" xfId="3" applyNumberFormat="1" applyFont="1" applyFill="1" applyBorder="1" applyAlignment="1">
      <alignment vertical="center" shrinkToFit="1"/>
    </xf>
    <xf numFmtId="177" fontId="8" fillId="0" borderId="26" xfId="3" applyNumberFormat="1" applyFont="1" applyFill="1" applyBorder="1" applyAlignment="1">
      <alignment vertical="center" shrinkToFit="1"/>
    </xf>
    <xf numFmtId="177" fontId="8" fillId="0" borderId="18" xfId="3" applyNumberFormat="1" applyFont="1" applyFill="1" applyBorder="1" applyAlignment="1">
      <alignment vertical="center" shrinkToFit="1"/>
    </xf>
    <xf numFmtId="177" fontId="8" fillId="0" borderId="19" xfId="3" applyNumberFormat="1" applyFont="1" applyFill="1" applyBorder="1" applyAlignment="1">
      <alignment vertical="center" shrinkToFit="1"/>
    </xf>
    <xf numFmtId="178" fontId="8" fillId="0" borderId="19" xfId="3" applyNumberFormat="1" applyFont="1" applyFill="1" applyBorder="1" applyAlignment="1">
      <alignment vertical="center" shrinkToFit="1"/>
    </xf>
    <xf numFmtId="178" fontId="8" fillId="0" borderId="16" xfId="3" applyNumberFormat="1" applyFont="1" applyFill="1" applyBorder="1" applyAlignment="1">
      <alignment vertical="center" shrinkToFit="1"/>
    </xf>
    <xf numFmtId="178" fontId="8" fillId="0" borderId="39" xfId="3" applyNumberFormat="1" applyFont="1" applyFill="1" applyBorder="1" applyAlignment="1">
      <alignment vertical="center" shrinkToFit="1"/>
    </xf>
    <xf numFmtId="178" fontId="8" fillId="0" borderId="20" xfId="3" applyNumberFormat="1" applyFont="1" applyFill="1" applyBorder="1" applyAlignment="1">
      <alignment vertical="center" shrinkToFit="1"/>
    </xf>
    <xf numFmtId="178" fontId="8" fillId="0" borderId="38" xfId="3" applyNumberFormat="1" applyFont="1" applyFill="1" applyBorder="1" applyAlignment="1">
      <alignment vertical="center" shrinkToFit="1"/>
    </xf>
    <xf numFmtId="177" fontId="8" fillId="0" borderId="0" xfId="3" applyNumberFormat="1" applyFont="1" applyFill="1" applyAlignment="1">
      <alignment vertical="center" shrinkToFit="1"/>
    </xf>
    <xf numFmtId="178" fontId="8" fillId="0" borderId="0" xfId="3" applyNumberFormat="1" applyFont="1" applyFill="1" applyAlignment="1">
      <alignment vertical="center" shrinkToFit="1"/>
    </xf>
    <xf numFmtId="177" fontId="8" fillId="0" borderId="41" xfId="3" applyNumberFormat="1" applyFont="1" applyFill="1" applyBorder="1" applyAlignment="1">
      <alignment vertical="center" shrinkToFit="1"/>
    </xf>
    <xf numFmtId="177" fontId="8" fillId="0" borderId="42" xfId="3" applyNumberFormat="1" applyFont="1" applyFill="1" applyBorder="1" applyAlignment="1">
      <alignment vertical="center" shrinkToFit="1"/>
    </xf>
    <xf numFmtId="178" fontId="8" fillId="0" borderId="42" xfId="3" applyNumberFormat="1" applyFont="1" applyFill="1" applyBorder="1" applyAlignment="1">
      <alignment vertical="center" shrinkToFit="1"/>
    </xf>
    <xf numFmtId="178" fontId="8" fillId="0" borderId="40" xfId="3" applyNumberFormat="1" applyFont="1" applyFill="1" applyBorder="1" applyAlignment="1">
      <alignment vertical="center" shrinkToFit="1"/>
    </xf>
    <xf numFmtId="177" fontId="8" fillId="0" borderId="39" xfId="3" applyNumberFormat="1" applyFont="1" applyFill="1" applyBorder="1" applyAlignment="1">
      <alignment vertical="center" shrinkToFit="1"/>
    </xf>
    <xf numFmtId="177" fontId="8" fillId="0" borderId="20" xfId="3" applyNumberFormat="1" applyFont="1" applyFill="1" applyBorder="1" applyAlignment="1">
      <alignment vertical="center" shrinkToFit="1"/>
    </xf>
    <xf numFmtId="41" fontId="10" fillId="0" borderId="0" xfId="3" applyFont="1" applyFill="1" applyAlignment="1">
      <alignment vertical="center" shrinkToFit="1"/>
    </xf>
    <xf numFmtId="182" fontId="10" fillId="0" borderId="0" xfId="3" applyNumberFormat="1" applyFont="1" applyFill="1" applyAlignment="1">
      <alignment vertical="center" shrinkToFit="1"/>
    </xf>
    <xf numFmtId="0" fontId="2" fillId="0" borderId="0" xfId="1" applyFont="1" applyAlignment="1">
      <alignment vertical="top"/>
    </xf>
    <xf numFmtId="0" fontId="4" fillId="0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4" applyFont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shrinkToFit="1"/>
    </xf>
    <xf numFmtId="0" fontId="4" fillId="0" borderId="15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177" fontId="8" fillId="0" borderId="25" xfId="2" applyNumberFormat="1" applyFont="1" applyBorder="1" applyAlignment="1">
      <alignment vertical="center" shrinkToFit="1"/>
    </xf>
    <xf numFmtId="177" fontId="8" fillId="0" borderId="26" xfId="2" applyNumberFormat="1" applyFont="1" applyBorder="1" applyAlignment="1">
      <alignment vertical="center" shrinkToFit="1"/>
    </xf>
    <xf numFmtId="177" fontId="8" fillId="0" borderId="24" xfId="2" applyNumberFormat="1" applyFont="1" applyBorder="1" applyAlignment="1">
      <alignment vertical="center" shrinkToFit="1"/>
    </xf>
    <xf numFmtId="178" fontId="8" fillId="0" borderId="24" xfId="2" applyNumberFormat="1" applyFont="1" applyBorder="1" applyAlignment="1">
      <alignment vertical="center" shrinkToFit="1"/>
    </xf>
    <xf numFmtId="178" fontId="8" fillId="0" borderId="22" xfId="2" applyNumberFormat="1" applyFont="1" applyBorder="1" applyAlignment="1">
      <alignment vertical="center" shrinkToFit="1"/>
    </xf>
    <xf numFmtId="0" fontId="8" fillId="0" borderId="0" xfId="0" applyFont="1" applyAlignment="1">
      <alignment vertical="center"/>
    </xf>
    <xf numFmtId="177" fontId="8" fillId="0" borderId="23" xfId="2" applyNumberFormat="1" applyFont="1" applyBorder="1" applyAlignment="1">
      <alignment vertical="center" shrinkToFit="1"/>
    </xf>
    <xf numFmtId="0" fontId="4" fillId="0" borderId="27" xfId="2" applyFont="1" applyBorder="1" applyAlignment="1">
      <alignment horizontal="center" vertical="center"/>
    </xf>
    <xf numFmtId="177" fontId="8" fillId="0" borderId="21" xfId="2" applyNumberFormat="1" applyFont="1" applyBorder="1" applyAlignment="1">
      <alignment vertical="center" shrinkToFit="1"/>
    </xf>
    <xf numFmtId="177" fontId="8" fillId="0" borderId="28" xfId="2" applyNumberFormat="1" applyFont="1" applyBorder="1" applyAlignment="1">
      <alignment vertical="center" shrinkToFit="1"/>
    </xf>
    <xf numFmtId="178" fontId="8" fillId="0" borderId="28" xfId="2" applyNumberFormat="1" applyFont="1" applyBorder="1" applyAlignment="1">
      <alignment vertical="center" shrinkToFit="1"/>
    </xf>
    <xf numFmtId="178" fontId="8" fillId="0" borderId="27" xfId="2" applyNumberFormat="1" applyFont="1" applyBorder="1" applyAlignment="1">
      <alignment vertical="center" shrinkToFit="1"/>
    </xf>
    <xf numFmtId="0" fontId="4" fillId="0" borderId="29" xfId="2" applyFont="1" applyBorder="1" applyAlignment="1">
      <alignment horizontal="center" vertical="center"/>
    </xf>
    <xf numFmtId="177" fontId="8" fillId="0" borderId="30" xfId="2" applyNumberFormat="1" applyFont="1" applyBorder="1" applyAlignment="1">
      <alignment vertical="center" shrinkToFit="1"/>
    </xf>
    <xf numFmtId="177" fontId="8" fillId="0" borderId="14" xfId="2" applyNumberFormat="1" applyFont="1" applyBorder="1" applyAlignment="1">
      <alignment vertical="center" shrinkToFit="1"/>
    </xf>
    <xf numFmtId="178" fontId="8" fillId="0" borderId="14" xfId="2" applyNumberFormat="1" applyFont="1" applyBorder="1" applyAlignment="1">
      <alignment vertical="center" shrinkToFit="1"/>
    </xf>
    <xf numFmtId="178" fontId="8" fillId="0" borderId="29" xfId="2" applyNumberFormat="1" applyFont="1" applyBorder="1" applyAlignment="1">
      <alignment vertical="center" shrinkToFit="1"/>
    </xf>
    <xf numFmtId="177" fontId="8" fillId="0" borderId="31" xfId="2" applyNumberFormat="1" applyFont="1" applyBorder="1" applyAlignment="1">
      <alignment vertical="center" shrinkToFit="1"/>
    </xf>
    <xf numFmtId="177" fontId="8" fillId="0" borderId="34" xfId="2" applyNumberFormat="1" applyFont="1" applyBorder="1" applyAlignment="1">
      <alignment vertical="center" shrinkToFit="1"/>
    </xf>
    <xf numFmtId="178" fontId="8" fillId="0" borderId="34" xfId="2" applyNumberFormat="1" applyFont="1" applyBorder="1" applyAlignment="1">
      <alignment vertical="center" shrinkToFit="1"/>
    </xf>
    <xf numFmtId="178" fontId="8" fillId="0" borderId="32" xfId="2" applyNumberFormat="1" applyFont="1" applyBorder="1" applyAlignment="1">
      <alignment vertical="center" shrinkToFit="1"/>
    </xf>
    <xf numFmtId="0" fontId="4" fillId="0" borderId="21" xfId="2" applyFont="1" applyBorder="1" applyAlignment="1">
      <alignment horizontal="center" vertical="center"/>
    </xf>
    <xf numFmtId="177" fontId="8" fillId="0" borderId="36" xfId="2" applyNumberFormat="1" applyFont="1" applyBorder="1" applyAlignment="1">
      <alignment vertical="center" shrinkToFit="1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177" fontId="8" fillId="0" borderId="6" xfId="2" applyNumberFormat="1" applyFont="1" applyBorder="1" applyAlignment="1">
      <alignment vertical="center" shrinkToFit="1"/>
    </xf>
    <xf numFmtId="177" fontId="8" fillId="0" borderId="9" xfId="2" applyNumberFormat="1" applyFont="1" applyBorder="1" applyAlignment="1">
      <alignment vertical="center" shrinkToFit="1"/>
    </xf>
    <xf numFmtId="178" fontId="8" fillId="0" borderId="7" xfId="2" applyNumberFormat="1" applyFont="1" applyBorder="1" applyAlignment="1">
      <alignment vertical="center" shrinkToFit="1"/>
    </xf>
    <xf numFmtId="179" fontId="8" fillId="0" borderId="28" xfId="2" applyNumberFormat="1" applyFont="1" applyBorder="1" applyAlignment="1">
      <alignment vertical="center" shrinkToFit="1"/>
    </xf>
    <xf numFmtId="0" fontId="4" fillId="0" borderId="22" xfId="2" applyFont="1" applyBorder="1" applyAlignment="1">
      <alignment horizontal="center" vertical="center" shrinkToFit="1"/>
    </xf>
    <xf numFmtId="0" fontId="9" fillId="0" borderId="22" xfId="5" applyFont="1" applyBorder="1" applyAlignment="1">
      <alignment horizontal="center" vertical="center" shrinkToFit="1"/>
    </xf>
    <xf numFmtId="0" fontId="4" fillId="0" borderId="16" xfId="2" applyFont="1" applyBorder="1" applyAlignment="1">
      <alignment horizontal="center" vertical="center"/>
    </xf>
    <xf numFmtId="177" fontId="8" fillId="0" borderId="15" xfId="2" applyNumberFormat="1" applyFont="1" applyBorder="1" applyAlignment="1">
      <alignment vertical="center" shrinkToFit="1"/>
    </xf>
    <xf numFmtId="177" fontId="8" fillId="0" borderId="19" xfId="2" applyNumberFormat="1" applyFont="1" applyBorder="1" applyAlignment="1">
      <alignment vertical="center" shrinkToFit="1"/>
    </xf>
    <xf numFmtId="178" fontId="8" fillId="0" borderId="19" xfId="2" applyNumberFormat="1" applyFont="1" applyBorder="1" applyAlignment="1">
      <alignment vertical="center" shrinkToFit="1"/>
    </xf>
    <xf numFmtId="178" fontId="8" fillId="0" borderId="16" xfId="2" applyNumberFormat="1" applyFont="1" applyBorder="1" applyAlignment="1">
      <alignment vertical="center" shrinkToFit="1"/>
    </xf>
    <xf numFmtId="178" fontId="8" fillId="0" borderId="17" xfId="2" applyNumberFormat="1" applyFont="1" applyBorder="1" applyAlignment="1">
      <alignment vertical="center" shrinkToFit="1"/>
    </xf>
    <xf numFmtId="178" fontId="8" fillId="0" borderId="20" xfId="2" applyNumberFormat="1" applyFont="1" applyBorder="1" applyAlignment="1">
      <alignment vertical="center" shrinkToFit="1"/>
    </xf>
    <xf numFmtId="178" fontId="8" fillId="0" borderId="38" xfId="2" applyNumberFormat="1" applyFont="1" applyBorder="1" applyAlignment="1">
      <alignment vertical="center" shrinkToFit="1"/>
    </xf>
    <xf numFmtId="0" fontId="4" fillId="0" borderId="0" xfId="2" applyFont="1" applyAlignment="1">
      <alignment horizontal="center" vertical="center"/>
    </xf>
    <xf numFmtId="177" fontId="8" fillId="0" borderId="0" xfId="2" applyNumberFormat="1" applyFont="1" applyAlignment="1">
      <alignment vertical="center" shrinkToFit="1"/>
    </xf>
    <xf numFmtId="178" fontId="8" fillId="0" borderId="0" xfId="2" applyNumberFormat="1" applyFont="1" applyAlignment="1">
      <alignment vertical="center" shrinkToFit="1"/>
    </xf>
    <xf numFmtId="177" fontId="8" fillId="0" borderId="42" xfId="2" applyNumberFormat="1" applyFont="1" applyBorder="1" applyAlignment="1">
      <alignment vertical="center" shrinkToFit="1"/>
    </xf>
    <xf numFmtId="178" fontId="8" fillId="0" borderId="42" xfId="2" applyNumberFormat="1" applyFont="1" applyBorder="1" applyAlignment="1">
      <alignment vertical="center" shrinkToFit="1"/>
    </xf>
    <xf numFmtId="178" fontId="8" fillId="0" borderId="40" xfId="2" applyNumberFormat="1" applyFont="1" applyBorder="1" applyAlignment="1">
      <alignment vertical="center" shrinkToFit="1"/>
    </xf>
    <xf numFmtId="177" fontId="8" fillId="0" borderId="17" xfId="2" applyNumberFormat="1" applyFont="1" applyBorder="1" applyAlignment="1">
      <alignment vertical="center" shrinkToFit="1"/>
    </xf>
    <xf numFmtId="177" fontId="8" fillId="0" borderId="20" xfId="2" applyNumberFormat="1" applyFont="1" applyBorder="1" applyAlignment="1">
      <alignment vertical="center" shrinkToFit="1"/>
    </xf>
    <xf numFmtId="0" fontId="4" fillId="0" borderId="0" xfId="6" applyFont="1" applyAlignment="1">
      <alignment vertical="center"/>
    </xf>
    <xf numFmtId="0" fontId="4" fillId="0" borderId="0" xfId="2" applyFont="1" applyAlignment="1">
      <alignment vertical="center" shrinkToFit="1"/>
    </xf>
    <xf numFmtId="0" fontId="9" fillId="0" borderId="0" xfId="4" applyFont="1" applyAlignment="1">
      <alignment vertical="center"/>
    </xf>
    <xf numFmtId="180" fontId="10" fillId="0" borderId="0" xfId="2" applyNumberFormat="1" applyFont="1" applyAlignment="1">
      <alignment vertical="center" shrinkToFit="1"/>
    </xf>
    <xf numFmtId="0" fontId="8" fillId="0" borderId="0" xfId="4" applyFont="1" applyAlignment="1">
      <alignment vertical="center"/>
    </xf>
    <xf numFmtId="0" fontId="1" fillId="0" borderId="0" xfId="2"/>
    <xf numFmtId="181" fontId="8" fillId="0" borderId="0" xfId="2" applyNumberFormat="1" applyFont="1" applyAlignment="1">
      <alignment vertical="center"/>
    </xf>
    <xf numFmtId="0" fontId="4" fillId="0" borderId="0" xfId="4" applyFont="1" applyAlignment="1">
      <alignment horizontal="center" vertical="center" shrinkToFit="1"/>
    </xf>
    <xf numFmtId="0" fontId="4" fillId="0" borderId="0" xfId="4" applyFont="1" applyAlignment="1">
      <alignment vertical="center"/>
    </xf>
    <xf numFmtId="0" fontId="4" fillId="0" borderId="0" xfId="4" applyFont="1" applyAlignment="1">
      <alignment vertical="center" shrinkToFit="1"/>
    </xf>
    <xf numFmtId="41" fontId="8" fillId="0" borderId="0" xfId="7" applyFont="1" applyFill="1" applyAlignment="1">
      <alignment vertical="center"/>
    </xf>
    <xf numFmtId="177" fontId="8" fillId="0" borderId="0" xfId="0" applyNumberFormat="1" applyFont="1" applyAlignment="1">
      <alignment vertical="center"/>
    </xf>
    <xf numFmtId="183" fontId="4" fillId="0" borderId="0" xfId="2" applyNumberFormat="1" applyFont="1" applyAlignment="1">
      <alignment vertical="center"/>
    </xf>
    <xf numFmtId="183" fontId="8" fillId="0" borderId="23" xfId="3" applyNumberFormat="1" applyFont="1" applyFill="1" applyBorder="1" applyAlignment="1">
      <alignment vertical="center" shrinkToFit="1"/>
    </xf>
    <xf numFmtId="183" fontId="8" fillId="0" borderId="25" xfId="2" applyNumberFormat="1" applyFont="1" applyBorder="1" applyAlignment="1">
      <alignment vertical="center" shrinkToFit="1"/>
    </xf>
    <xf numFmtId="183" fontId="8" fillId="0" borderId="0" xfId="3" applyNumberFormat="1" applyFont="1" applyFill="1" applyAlignment="1">
      <alignment vertical="center" shrinkToFit="1"/>
    </xf>
    <xf numFmtId="183" fontId="8" fillId="0" borderId="0" xfId="2" applyNumberFormat="1" applyFont="1" applyAlignment="1">
      <alignment vertical="center" shrinkToFit="1"/>
    </xf>
    <xf numFmtId="183" fontId="8" fillId="0" borderId="42" xfId="3" applyNumberFormat="1" applyFont="1" applyFill="1" applyBorder="1" applyAlignment="1">
      <alignment vertical="center" shrinkToFit="1"/>
    </xf>
    <xf numFmtId="183" fontId="8" fillId="0" borderId="40" xfId="3" applyNumberFormat="1" applyFont="1" applyFill="1" applyBorder="1" applyAlignment="1">
      <alignment vertical="center" shrinkToFit="1"/>
    </xf>
    <xf numFmtId="183" fontId="8" fillId="0" borderId="42" xfId="2" applyNumberFormat="1" applyFont="1" applyBorder="1" applyAlignment="1">
      <alignment vertical="center" shrinkToFit="1"/>
    </xf>
    <xf numFmtId="183" fontId="8" fillId="0" borderId="40" xfId="2" applyNumberFormat="1" applyFont="1" applyBorder="1" applyAlignment="1">
      <alignment vertical="center" shrinkToFit="1"/>
    </xf>
    <xf numFmtId="183" fontId="8" fillId="0" borderId="24" xfId="3" applyNumberFormat="1" applyFont="1" applyFill="1" applyBorder="1" applyAlignment="1">
      <alignment vertical="center" shrinkToFit="1"/>
    </xf>
    <xf numFmtId="183" fontId="8" fillId="0" borderId="22" xfId="3" applyNumberFormat="1" applyFont="1" applyFill="1" applyBorder="1" applyAlignment="1">
      <alignment vertical="center" shrinkToFit="1"/>
    </xf>
    <xf numFmtId="183" fontId="8" fillId="0" borderId="24" xfId="2" applyNumberFormat="1" applyFont="1" applyBorder="1" applyAlignment="1">
      <alignment vertical="center" shrinkToFit="1"/>
    </xf>
    <xf numFmtId="183" fontId="8" fillId="0" borderId="22" xfId="2" applyNumberFormat="1" applyFont="1" applyBorder="1" applyAlignment="1">
      <alignment vertical="center" shrinkToFit="1"/>
    </xf>
    <xf numFmtId="183" fontId="8" fillId="0" borderId="20" xfId="3" applyNumberFormat="1" applyFont="1" applyFill="1" applyBorder="1" applyAlignment="1">
      <alignment vertical="center" shrinkToFit="1"/>
    </xf>
    <xf numFmtId="183" fontId="8" fillId="0" borderId="38" xfId="3" applyNumberFormat="1" applyFont="1" applyFill="1" applyBorder="1" applyAlignment="1">
      <alignment vertical="center" shrinkToFit="1"/>
    </xf>
    <xf numFmtId="183" fontId="8" fillId="0" borderId="20" xfId="2" applyNumberFormat="1" applyFont="1" applyBorder="1" applyAlignment="1">
      <alignment vertical="center" shrinkToFit="1"/>
    </xf>
    <xf numFmtId="183" fontId="8" fillId="0" borderId="38" xfId="2" applyNumberFormat="1" applyFont="1" applyBorder="1" applyAlignment="1">
      <alignment vertical="center" shrinkToFit="1"/>
    </xf>
    <xf numFmtId="183" fontId="4" fillId="0" borderId="0" xfId="2" applyNumberFormat="1" applyFont="1" applyAlignment="1">
      <alignment vertical="center" shrinkToFit="1"/>
    </xf>
    <xf numFmtId="183" fontId="10" fillId="0" borderId="0" xfId="2" applyNumberFormat="1" applyFont="1" applyAlignment="1">
      <alignment vertical="center" shrinkToFit="1"/>
    </xf>
    <xf numFmtId="183" fontId="1" fillId="0" borderId="0" xfId="2" applyNumberFormat="1"/>
    <xf numFmtId="183" fontId="8" fillId="0" borderId="0" xfId="4" applyNumberFormat="1" applyFont="1" applyAlignment="1">
      <alignment vertical="center"/>
    </xf>
    <xf numFmtId="0" fontId="4" fillId="0" borderId="37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 shrinkToFit="1"/>
    </xf>
    <xf numFmtId="0" fontId="11" fillId="0" borderId="0" xfId="2" applyFont="1" applyAlignment="1">
      <alignment horizontal="center" vertical="center" shrinkToFit="1"/>
    </xf>
    <xf numFmtId="0" fontId="4" fillId="0" borderId="23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183" fontId="11" fillId="0" borderId="0" xfId="2" applyNumberFormat="1" applyFont="1" applyAlignment="1">
      <alignment horizontal="center" vertical="center" shrinkToFit="1"/>
    </xf>
    <xf numFmtId="183" fontId="7" fillId="0" borderId="9" xfId="2" applyNumberFormat="1" applyFont="1" applyBorder="1" applyAlignment="1">
      <alignment horizontal="center" vertical="center" wrapText="1"/>
    </xf>
    <xf numFmtId="183" fontId="7" fillId="0" borderId="19" xfId="2" applyNumberFormat="1" applyFont="1" applyBorder="1" applyAlignment="1">
      <alignment horizontal="center" vertical="center"/>
    </xf>
    <xf numFmtId="183" fontId="7" fillId="0" borderId="7" xfId="2" applyNumberFormat="1" applyFont="1" applyBorder="1" applyAlignment="1">
      <alignment horizontal="center" vertical="center" wrapText="1"/>
    </xf>
    <xf numFmtId="183" fontId="7" fillId="0" borderId="16" xfId="2" applyNumberFormat="1" applyFont="1" applyBorder="1" applyAlignment="1">
      <alignment horizontal="center" vertical="center"/>
    </xf>
  </cellXfs>
  <cellStyles count="8">
    <cellStyle name="쉼표 [0] 10 2" xfId="3" xr:uid="{00000000-0005-0000-0000-000001000000}"/>
    <cellStyle name="쉼표 [0] 11" xfId="7" xr:uid="{E9252850-AE29-496E-B632-63060BEF712D}"/>
    <cellStyle name="표준" xfId="0" builtinId="0"/>
    <cellStyle name="표준 2 2" xfId="2" xr:uid="{00000000-0005-0000-0000-000003000000}"/>
    <cellStyle name="표준_(보고3) 공급실적 2 - 그 이후" xfId="1" xr:uid="{00000000-0005-0000-0000-000004000000}"/>
    <cellStyle name="표준_2나(1)월별" xfId="4" xr:uid="{00000000-0005-0000-0000-000005000000}"/>
    <cellStyle name="표준_3라(1)배관" xfId="5" xr:uid="{00000000-0005-0000-0000-000006000000}"/>
    <cellStyle name="표준_Ⅲ-4연별실적(85-02)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3789-6821-4FDF-90BE-E962856E33DD}">
  <sheetPr>
    <tabColor rgb="FF7030A0"/>
    <pageSetUpPr fitToPage="1"/>
  </sheetPr>
  <dimension ref="A1:AJ111"/>
  <sheetViews>
    <sheetView showZeros="0" tabSelected="1" zoomScaleNormal="100" workbookViewId="0">
      <pane xSplit="2" ySplit="5" topLeftCell="C6" activePane="bottomRight" state="frozen"/>
      <selection activeCell="D1" sqref="D1"/>
      <selection pane="topRight" activeCell="D1" sqref="D1"/>
      <selection pane="bottomLeft" activeCell="D1" sqref="D1"/>
      <selection pane="bottomRight" activeCell="S21" activeCellId="2" sqref="D12 AG6 S21"/>
    </sheetView>
  </sheetViews>
  <sheetFormatPr defaultColWidth="6.69921875" defaultRowHeight="11.25" customHeight="1" x14ac:dyDescent="0.25"/>
  <cols>
    <col min="1" max="1" width="3.59765625" style="111" customWidth="1"/>
    <col min="2" max="2" width="5.296875" style="112" customWidth="1"/>
    <col min="3" max="4" width="5.296875" style="107" customWidth="1"/>
    <col min="5" max="10" width="4.09765625" style="107" customWidth="1"/>
    <col min="11" max="13" width="3.09765625" style="107" bestFit="1" customWidth="1"/>
    <col min="14" max="14" width="3.09765625" style="107" customWidth="1"/>
    <col min="15" max="15" width="3.296875" style="107" bestFit="1" customWidth="1"/>
    <col min="16" max="16" width="5.296875" style="107" bestFit="1" customWidth="1"/>
    <col min="17" max="18" width="3.296875" style="135" customWidth="1"/>
    <col min="19" max="21" width="4.59765625" style="107" customWidth="1"/>
    <col min="22" max="23" width="3.796875" style="107" customWidth="1"/>
    <col min="24" max="24" width="4.296875" style="107" customWidth="1"/>
    <col min="25" max="26" width="3.796875" style="107" customWidth="1"/>
    <col min="27" max="28" width="4.59765625" style="107" customWidth="1"/>
    <col min="29" max="31" width="3.59765625" style="107" customWidth="1"/>
    <col min="32" max="32" width="5.09765625" style="107" customWidth="1"/>
    <col min="33" max="33" width="4" style="107" customWidth="1"/>
    <col min="34" max="34" width="4.69921875" style="107" customWidth="1"/>
    <col min="35" max="36" width="3.296875" style="135" customWidth="1"/>
    <col min="37" max="256" width="6.69921875" style="107"/>
    <col min="257" max="257" width="3.59765625" style="107" customWidth="1"/>
    <col min="258" max="260" width="5.296875" style="107" customWidth="1"/>
    <col min="261" max="266" width="4.09765625" style="107" customWidth="1"/>
    <col min="267" max="269" width="3.09765625" style="107" bestFit="1" customWidth="1"/>
    <col min="270" max="270" width="3.09765625" style="107" customWidth="1"/>
    <col min="271" max="271" width="3.296875" style="107" bestFit="1" customWidth="1"/>
    <col min="272" max="272" width="5.296875" style="107" bestFit="1" customWidth="1"/>
    <col min="273" max="274" width="3.296875" style="107" customWidth="1"/>
    <col min="275" max="277" width="4.59765625" style="107" customWidth="1"/>
    <col min="278" max="279" width="3.796875" style="107" customWidth="1"/>
    <col min="280" max="280" width="4.296875" style="107" customWidth="1"/>
    <col min="281" max="282" width="3.796875" style="107" customWidth="1"/>
    <col min="283" max="284" width="4.59765625" style="107" customWidth="1"/>
    <col min="285" max="287" width="3.59765625" style="107" customWidth="1"/>
    <col min="288" max="288" width="5.09765625" style="107" customWidth="1"/>
    <col min="289" max="289" width="4" style="107" customWidth="1"/>
    <col min="290" max="290" width="4.69921875" style="107" customWidth="1"/>
    <col min="291" max="292" width="3.296875" style="107" customWidth="1"/>
    <col min="293" max="512" width="6.69921875" style="107"/>
    <col min="513" max="513" width="3.59765625" style="107" customWidth="1"/>
    <col min="514" max="516" width="5.296875" style="107" customWidth="1"/>
    <col min="517" max="522" width="4.09765625" style="107" customWidth="1"/>
    <col min="523" max="525" width="3.09765625" style="107" bestFit="1" customWidth="1"/>
    <col min="526" max="526" width="3.09765625" style="107" customWidth="1"/>
    <col min="527" max="527" width="3.296875" style="107" bestFit="1" customWidth="1"/>
    <col min="528" max="528" width="5.296875" style="107" bestFit="1" customWidth="1"/>
    <col min="529" max="530" width="3.296875" style="107" customWidth="1"/>
    <col min="531" max="533" width="4.59765625" style="107" customWidth="1"/>
    <col min="534" max="535" width="3.796875" style="107" customWidth="1"/>
    <col min="536" max="536" width="4.296875" style="107" customWidth="1"/>
    <col min="537" max="538" width="3.796875" style="107" customWidth="1"/>
    <col min="539" max="540" width="4.59765625" style="107" customWidth="1"/>
    <col min="541" max="543" width="3.59765625" style="107" customWidth="1"/>
    <col min="544" max="544" width="5.09765625" style="107" customWidth="1"/>
    <col min="545" max="545" width="4" style="107" customWidth="1"/>
    <col min="546" max="546" width="4.69921875" style="107" customWidth="1"/>
    <col min="547" max="548" width="3.296875" style="107" customWidth="1"/>
    <col min="549" max="768" width="6.69921875" style="107"/>
    <col min="769" max="769" width="3.59765625" style="107" customWidth="1"/>
    <col min="770" max="772" width="5.296875" style="107" customWidth="1"/>
    <col min="773" max="778" width="4.09765625" style="107" customWidth="1"/>
    <col min="779" max="781" width="3.09765625" style="107" bestFit="1" customWidth="1"/>
    <col min="782" max="782" width="3.09765625" style="107" customWidth="1"/>
    <col min="783" max="783" width="3.296875" style="107" bestFit="1" customWidth="1"/>
    <col min="784" max="784" width="5.296875" style="107" bestFit="1" customWidth="1"/>
    <col min="785" max="786" width="3.296875" style="107" customWidth="1"/>
    <col min="787" max="789" width="4.59765625" style="107" customWidth="1"/>
    <col min="790" max="791" width="3.796875" style="107" customWidth="1"/>
    <col min="792" max="792" width="4.296875" style="107" customWidth="1"/>
    <col min="793" max="794" width="3.796875" style="107" customWidth="1"/>
    <col min="795" max="796" width="4.59765625" style="107" customWidth="1"/>
    <col min="797" max="799" width="3.59765625" style="107" customWidth="1"/>
    <col min="800" max="800" width="5.09765625" style="107" customWidth="1"/>
    <col min="801" max="801" width="4" style="107" customWidth="1"/>
    <col min="802" max="802" width="4.69921875" style="107" customWidth="1"/>
    <col min="803" max="804" width="3.296875" style="107" customWidth="1"/>
    <col min="805" max="1024" width="6.69921875" style="107"/>
    <col min="1025" max="1025" width="3.59765625" style="107" customWidth="1"/>
    <col min="1026" max="1028" width="5.296875" style="107" customWidth="1"/>
    <col min="1029" max="1034" width="4.09765625" style="107" customWidth="1"/>
    <col min="1035" max="1037" width="3.09765625" style="107" bestFit="1" customWidth="1"/>
    <col min="1038" max="1038" width="3.09765625" style="107" customWidth="1"/>
    <col min="1039" max="1039" width="3.296875" style="107" bestFit="1" customWidth="1"/>
    <col min="1040" max="1040" width="5.296875" style="107" bestFit="1" customWidth="1"/>
    <col min="1041" max="1042" width="3.296875" style="107" customWidth="1"/>
    <col min="1043" max="1045" width="4.59765625" style="107" customWidth="1"/>
    <col min="1046" max="1047" width="3.796875" style="107" customWidth="1"/>
    <col min="1048" max="1048" width="4.296875" style="107" customWidth="1"/>
    <col min="1049" max="1050" width="3.796875" style="107" customWidth="1"/>
    <col min="1051" max="1052" width="4.59765625" style="107" customWidth="1"/>
    <col min="1053" max="1055" width="3.59765625" style="107" customWidth="1"/>
    <col min="1056" max="1056" width="5.09765625" style="107" customWidth="1"/>
    <col min="1057" max="1057" width="4" style="107" customWidth="1"/>
    <col min="1058" max="1058" width="4.69921875" style="107" customWidth="1"/>
    <col min="1059" max="1060" width="3.296875" style="107" customWidth="1"/>
    <col min="1061" max="1280" width="6.69921875" style="107"/>
    <col min="1281" max="1281" width="3.59765625" style="107" customWidth="1"/>
    <col min="1282" max="1284" width="5.296875" style="107" customWidth="1"/>
    <col min="1285" max="1290" width="4.09765625" style="107" customWidth="1"/>
    <col min="1291" max="1293" width="3.09765625" style="107" bestFit="1" customWidth="1"/>
    <col min="1294" max="1294" width="3.09765625" style="107" customWidth="1"/>
    <col min="1295" max="1295" width="3.296875" style="107" bestFit="1" customWidth="1"/>
    <col min="1296" max="1296" width="5.296875" style="107" bestFit="1" customWidth="1"/>
    <col min="1297" max="1298" width="3.296875" style="107" customWidth="1"/>
    <col min="1299" max="1301" width="4.59765625" style="107" customWidth="1"/>
    <col min="1302" max="1303" width="3.796875" style="107" customWidth="1"/>
    <col min="1304" max="1304" width="4.296875" style="107" customWidth="1"/>
    <col min="1305" max="1306" width="3.796875" style="107" customWidth="1"/>
    <col min="1307" max="1308" width="4.59765625" style="107" customWidth="1"/>
    <col min="1309" max="1311" width="3.59765625" style="107" customWidth="1"/>
    <col min="1312" max="1312" width="5.09765625" style="107" customWidth="1"/>
    <col min="1313" max="1313" width="4" style="107" customWidth="1"/>
    <col min="1314" max="1314" width="4.69921875" style="107" customWidth="1"/>
    <col min="1315" max="1316" width="3.296875" style="107" customWidth="1"/>
    <col min="1317" max="1536" width="6.69921875" style="107"/>
    <col min="1537" max="1537" width="3.59765625" style="107" customWidth="1"/>
    <col min="1538" max="1540" width="5.296875" style="107" customWidth="1"/>
    <col min="1541" max="1546" width="4.09765625" style="107" customWidth="1"/>
    <col min="1547" max="1549" width="3.09765625" style="107" bestFit="1" customWidth="1"/>
    <col min="1550" max="1550" width="3.09765625" style="107" customWidth="1"/>
    <col min="1551" max="1551" width="3.296875" style="107" bestFit="1" customWidth="1"/>
    <col min="1552" max="1552" width="5.296875" style="107" bestFit="1" customWidth="1"/>
    <col min="1553" max="1554" width="3.296875" style="107" customWidth="1"/>
    <col min="1555" max="1557" width="4.59765625" style="107" customWidth="1"/>
    <col min="1558" max="1559" width="3.796875" style="107" customWidth="1"/>
    <col min="1560" max="1560" width="4.296875" style="107" customWidth="1"/>
    <col min="1561" max="1562" width="3.796875" style="107" customWidth="1"/>
    <col min="1563" max="1564" width="4.59765625" style="107" customWidth="1"/>
    <col min="1565" max="1567" width="3.59765625" style="107" customWidth="1"/>
    <col min="1568" max="1568" width="5.09765625" style="107" customWidth="1"/>
    <col min="1569" max="1569" width="4" style="107" customWidth="1"/>
    <col min="1570" max="1570" width="4.69921875" style="107" customWidth="1"/>
    <col min="1571" max="1572" width="3.296875" style="107" customWidth="1"/>
    <col min="1573" max="1792" width="6.69921875" style="107"/>
    <col min="1793" max="1793" width="3.59765625" style="107" customWidth="1"/>
    <col min="1794" max="1796" width="5.296875" style="107" customWidth="1"/>
    <col min="1797" max="1802" width="4.09765625" style="107" customWidth="1"/>
    <col min="1803" max="1805" width="3.09765625" style="107" bestFit="1" customWidth="1"/>
    <col min="1806" max="1806" width="3.09765625" style="107" customWidth="1"/>
    <col min="1807" max="1807" width="3.296875" style="107" bestFit="1" customWidth="1"/>
    <col min="1808" max="1808" width="5.296875" style="107" bestFit="1" customWidth="1"/>
    <col min="1809" max="1810" width="3.296875" style="107" customWidth="1"/>
    <col min="1811" max="1813" width="4.59765625" style="107" customWidth="1"/>
    <col min="1814" max="1815" width="3.796875" style="107" customWidth="1"/>
    <col min="1816" max="1816" width="4.296875" style="107" customWidth="1"/>
    <col min="1817" max="1818" width="3.796875" style="107" customWidth="1"/>
    <col min="1819" max="1820" width="4.59765625" style="107" customWidth="1"/>
    <col min="1821" max="1823" width="3.59765625" style="107" customWidth="1"/>
    <col min="1824" max="1824" width="5.09765625" style="107" customWidth="1"/>
    <col min="1825" max="1825" width="4" style="107" customWidth="1"/>
    <col min="1826" max="1826" width="4.69921875" style="107" customWidth="1"/>
    <col min="1827" max="1828" width="3.296875" style="107" customWidth="1"/>
    <col min="1829" max="2048" width="6.69921875" style="107"/>
    <col min="2049" max="2049" width="3.59765625" style="107" customWidth="1"/>
    <col min="2050" max="2052" width="5.296875" style="107" customWidth="1"/>
    <col min="2053" max="2058" width="4.09765625" style="107" customWidth="1"/>
    <col min="2059" max="2061" width="3.09765625" style="107" bestFit="1" customWidth="1"/>
    <col min="2062" max="2062" width="3.09765625" style="107" customWidth="1"/>
    <col min="2063" max="2063" width="3.296875" style="107" bestFit="1" customWidth="1"/>
    <col min="2064" max="2064" width="5.296875" style="107" bestFit="1" customWidth="1"/>
    <col min="2065" max="2066" width="3.296875" style="107" customWidth="1"/>
    <col min="2067" max="2069" width="4.59765625" style="107" customWidth="1"/>
    <col min="2070" max="2071" width="3.796875" style="107" customWidth="1"/>
    <col min="2072" max="2072" width="4.296875" style="107" customWidth="1"/>
    <col min="2073" max="2074" width="3.796875" style="107" customWidth="1"/>
    <col min="2075" max="2076" width="4.59765625" style="107" customWidth="1"/>
    <col min="2077" max="2079" width="3.59765625" style="107" customWidth="1"/>
    <col min="2080" max="2080" width="5.09765625" style="107" customWidth="1"/>
    <col min="2081" max="2081" width="4" style="107" customWidth="1"/>
    <col min="2082" max="2082" width="4.69921875" style="107" customWidth="1"/>
    <col min="2083" max="2084" width="3.296875" style="107" customWidth="1"/>
    <col min="2085" max="2304" width="6.69921875" style="107"/>
    <col min="2305" max="2305" width="3.59765625" style="107" customWidth="1"/>
    <col min="2306" max="2308" width="5.296875" style="107" customWidth="1"/>
    <col min="2309" max="2314" width="4.09765625" style="107" customWidth="1"/>
    <col min="2315" max="2317" width="3.09765625" style="107" bestFit="1" customWidth="1"/>
    <col min="2318" max="2318" width="3.09765625" style="107" customWidth="1"/>
    <col min="2319" max="2319" width="3.296875" style="107" bestFit="1" customWidth="1"/>
    <col min="2320" max="2320" width="5.296875" style="107" bestFit="1" customWidth="1"/>
    <col min="2321" max="2322" width="3.296875" style="107" customWidth="1"/>
    <col min="2323" max="2325" width="4.59765625" style="107" customWidth="1"/>
    <col min="2326" max="2327" width="3.796875" style="107" customWidth="1"/>
    <col min="2328" max="2328" width="4.296875" style="107" customWidth="1"/>
    <col min="2329" max="2330" width="3.796875" style="107" customWidth="1"/>
    <col min="2331" max="2332" width="4.59765625" style="107" customWidth="1"/>
    <col min="2333" max="2335" width="3.59765625" style="107" customWidth="1"/>
    <col min="2336" max="2336" width="5.09765625" style="107" customWidth="1"/>
    <col min="2337" max="2337" width="4" style="107" customWidth="1"/>
    <col min="2338" max="2338" width="4.69921875" style="107" customWidth="1"/>
    <col min="2339" max="2340" width="3.296875" style="107" customWidth="1"/>
    <col min="2341" max="2560" width="6.69921875" style="107"/>
    <col min="2561" max="2561" width="3.59765625" style="107" customWidth="1"/>
    <col min="2562" max="2564" width="5.296875" style="107" customWidth="1"/>
    <col min="2565" max="2570" width="4.09765625" style="107" customWidth="1"/>
    <col min="2571" max="2573" width="3.09765625" style="107" bestFit="1" customWidth="1"/>
    <col min="2574" max="2574" width="3.09765625" style="107" customWidth="1"/>
    <col min="2575" max="2575" width="3.296875" style="107" bestFit="1" customWidth="1"/>
    <col min="2576" max="2576" width="5.296875" style="107" bestFit="1" customWidth="1"/>
    <col min="2577" max="2578" width="3.296875" style="107" customWidth="1"/>
    <col min="2579" max="2581" width="4.59765625" style="107" customWidth="1"/>
    <col min="2582" max="2583" width="3.796875" style="107" customWidth="1"/>
    <col min="2584" max="2584" width="4.296875" style="107" customWidth="1"/>
    <col min="2585" max="2586" width="3.796875" style="107" customWidth="1"/>
    <col min="2587" max="2588" width="4.59765625" style="107" customWidth="1"/>
    <col min="2589" max="2591" width="3.59765625" style="107" customWidth="1"/>
    <col min="2592" max="2592" width="5.09765625" style="107" customWidth="1"/>
    <col min="2593" max="2593" width="4" style="107" customWidth="1"/>
    <col min="2594" max="2594" width="4.69921875" style="107" customWidth="1"/>
    <col min="2595" max="2596" width="3.296875" style="107" customWidth="1"/>
    <col min="2597" max="2816" width="6.69921875" style="107"/>
    <col min="2817" max="2817" width="3.59765625" style="107" customWidth="1"/>
    <col min="2818" max="2820" width="5.296875" style="107" customWidth="1"/>
    <col min="2821" max="2826" width="4.09765625" style="107" customWidth="1"/>
    <col min="2827" max="2829" width="3.09765625" style="107" bestFit="1" customWidth="1"/>
    <col min="2830" max="2830" width="3.09765625" style="107" customWidth="1"/>
    <col min="2831" max="2831" width="3.296875" style="107" bestFit="1" customWidth="1"/>
    <col min="2832" max="2832" width="5.296875" style="107" bestFit="1" customWidth="1"/>
    <col min="2833" max="2834" width="3.296875" style="107" customWidth="1"/>
    <col min="2835" max="2837" width="4.59765625" style="107" customWidth="1"/>
    <col min="2838" max="2839" width="3.796875" style="107" customWidth="1"/>
    <col min="2840" max="2840" width="4.296875" style="107" customWidth="1"/>
    <col min="2841" max="2842" width="3.796875" style="107" customWidth="1"/>
    <col min="2843" max="2844" width="4.59765625" style="107" customWidth="1"/>
    <col min="2845" max="2847" width="3.59765625" style="107" customWidth="1"/>
    <col min="2848" max="2848" width="5.09765625" style="107" customWidth="1"/>
    <col min="2849" max="2849" width="4" style="107" customWidth="1"/>
    <col min="2850" max="2850" width="4.69921875" style="107" customWidth="1"/>
    <col min="2851" max="2852" width="3.296875" style="107" customWidth="1"/>
    <col min="2853" max="3072" width="6.69921875" style="107"/>
    <col min="3073" max="3073" width="3.59765625" style="107" customWidth="1"/>
    <col min="3074" max="3076" width="5.296875" style="107" customWidth="1"/>
    <col min="3077" max="3082" width="4.09765625" style="107" customWidth="1"/>
    <col min="3083" max="3085" width="3.09765625" style="107" bestFit="1" customWidth="1"/>
    <col min="3086" max="3086" width="3.09765625" style="107" customWidth="1"/>
    <col min="3087" max="3087" width="3.296875" style="107" bestFit="1" customWidth="1"/>
    <col min="3088" max="3088" width="5.296875" style="107" bestFit="1" customWidth="1"/>
    <col min="3089" max="3090" width="3.296875" style="107" customWidth="1"/>
    <col min="3091" max="3093" width="4.59765625" style="107" customWidth="1"/>
    <col min="3094" max="3095" width="3.796875" style="107" customWidth="1"/>
    <col min="3096" max="3096" width="4.296875" style="107" customWidth="1"/>
    <col min="3097" max="3098" width="3.796875" style="107" customWidth="1"/>
    <col min="3099" max="3100" width="4.59765625" style="107" customWidth="1"/>
    <col min="3101" max="3103" width="3.59765625" style="107" customWidth="1"/>
    <col min="3104" max="3104" width="5.09765625" style="107" customWidth="1"/>
    <col min="3105" max="3105" width="4" style="107" customWidth="1"/>
    <col min="3106" max="3106" width="4.69921875" style="107" customWidth="1"/>
    <col min="3107" max="3108" width="3.296875" style="107" customWidth="1"/>
    <col min="3109" max="3328" width="6.69921875" style="107"/>
    <col min="3329" max="3329" width="3.59765625" style="107" customWidth="1"/>
    <col min="3330" max="3332" width="5.296875" style="107" customWidth="1"/>
    <col min="3333" max="3338" width="4.09765625" style="107" customWidth="1"/>
    <col min="3339" max="3341" width="3.09765625" style="107" bestFit="1" customWidth="1"/>
    <col min="3342" max="3342" width="3.09765625" style="107" customWidth="1"/>
    <col min="3343" max="3343" width="3.296875" style="107" bestFit="1" customWidth="1"/>
    <col min="3344" max="3344" width="5.296875" style="107" bestFit="1" customWidth="1"/>
    <col min="3345" max="3346" width="3.296875" style="107" customWidth="1"/>
    <col min="3347" max="3349" width="4.59765625" style="107" customWidth="1"/>
    <col min="3350" max="3351" width="3.796875" style="107" customWidth="1"/>
    <col min="3352" max="3352" width="4.296875" style="107" customWidth="1"/>
    <col min="3353" max="3354" width="3.796875" style="107" customWidth="1"/>
    <col min="3355" max="3356" width="4.59765625" style="107" customWidth="1"/>
    <col min="3357" max="3359" width="3.59765625" style="107" customWidth="1"/>
    <col min="3360" max="3360" width="5.09765625" style="107" customWidth="1"/>
    <col min="3361" max="3361" width="4" style="107" customWidth="1"/>
    <col min="3362" max="3362" width="4.69921875" style="107" customWidth="1"/>
    <col min="3363" max="3364" width="3.296875" style="107" customWidth="1"/>
    <col min="3365" max="3584" width="6.69921875" style="107"/>
    <col min="3585" max="3585" width="3.59765625" style="107" customWidth="1"/>
    <col min="3586" max="3588" width="5.296875" style="107" customWidth="1"/>
    <col min="3589" max="3594" width="4.09765625" style="107" customWidth="1"/>
    <col min="3595" max="3597" width="3.09765625" style="107" bestFit="1" customWidth="1"/>
    <col min="3598" max="3598" width="3.09765625" style="107" customWidth="1"/>
    <col min="3599" max="3599" width="3.296875" style="107" bestFit="1" customWidth="1"/>
    <col min="3600" max="3600" width="5.296875" style="107" bestFit="1" customWidth="1"/>
    <col min="3601" max="3602" width="3.296875" style="107" customWidth="1"/>
    <col min="3603" max="3605" width="4.59765625" style="107" customWidth="1"/>
    <col min="3606" max="3607" width="3.796875" style="107" customWidth="1"/>
    <col min="3608" max="3608" width="4.296875" style="107" customWidth="1"/>
    <col min="3609" max="3610" width="3.796875" style="107" customWidth="1"/>
    <col min="3611" max="3612" width="4.59765625" style="107" customWidth="1"/>
    <col min="3613" max="3615" width="3.59765625" style="107" customWidth="1"/>
    <col min="3616" max="3616" width="5.09765625" style="107" customWidth="1"/>
    <col min="3617" max="3617" width="4" style="107" customWidth="1"/>
    <col min="3618" max="3618" width="4.69921875" style="107" customWidth="1"/>
    <col min="3619" max="3620" width="3.296875" style="107" customWidth="1"/>
    <col min="3621" max="3840" width="6.69921875" style="107"/>
    <col min="3841" max="3841" width="3.59765625" style="107" customWidth="1"/>
    <col min="3842" max="3844" width="5.296875" style="107" customWidth="1"/>
    <col min="3845" max="3850" width="4.09765625" style="107" customWidth="1"/>
    <col min="3851" max="3853" width="3.09765625" style="107" bestFit="1" customWidth="1"/>
    <col min="3854" max="3854" width="3.09765625" style="107" customWidth="1"/>
    <col min="3855" max="3855" width="3.296875" style="107" bestFit="1" customWidth="1"/>
    <col min="3856" max="3856" width="5.296875" style="107" bestFit="1" customWidth="1"/>
    <col min="3857" max="3858" width="3.296875" style="107" customWidth="1"/>
    <col min="3859" max="3861" width="4.59765625" style="107" customWidth="1"/>
    <col min="3862" max="3863" width="3.796875" style="107" customWidth="1"/>
    <col min="3864" max="3864" width="4.296875" style="107" customWidth="1"/>
    <col min="3865" max="3866" width="3.796875" style="107" customWidth="1"/>
    <col min="3867" max="3868" width="4.59765625" style="107" customWidth="1"/>
    <col min="3869" max="3871" width="3.59765625" style="107" customWidth="1"/>
    <col min="3872" max="3872" width="5.09765625" style="107" customWidth="1"/>
    <col min="3873" max="3873" width="4" style="107" customWidth="1"/>
    <col min="3874" max="3874" width="4.69921875" style="107" customWidth="1"/>
    <col min="3875" max="3876" width="3.296875" style="107" customWidth="1"/>
    <col min="3877" max="4096" width="6.69921875" style="107"/>
    <col min="4097" max="4097" width="3.59765625" style="107" customWidth="1"/>
    <col min="4098" max="4100" width="5.296875" style="107" customWidth="1"/>
    <col min="4101" max="4106" width="4.09765625" style="107" customWidth="1"/>
    <col min="4107" max="4109" width="3.09765625" style="107" bestFit="1" customWidth="1"/>
    <col min="4110" max="4110" width="3.09765625" style="107" customWidth="1"/>
    <col min="4111" max="4111" width="3.296875" style="107" bestFit="1" customWidth="1"/>
    <col min="4112" max="4112" width="5.296875" style="107" bestFit="1" customWidth="1"/>
    <col min="4113" max="4114" width="3.296875" style="107" customWidth="1"/>
    <col min="4115" max="4117" width="4.59765625" style="107" customWidth="1"/>
    <col min="4118" max="4119" width="3.796875" style="107" customWidth="1"/>
    <col min="4120" max="4120" width="4.296875" style="107" customWidth="1"/>
    <col min="4121" max="4122" width="3.796875" style="107" customWidth="1"/>
    <col min="4123" max="4124" width="4.59765625" style="107" customWidth="1"/>
    <col min="4125" max="4127" width="3.59765625" style="107" customWidth="1"/>
    <col min="4128" max="4128" width="5.09765625" style="107" customWidth="1"/>
    <col min="4129" max="4129" width="4" style="107" customWidth="1"/>
    <col min="4130" max="4130" width="4.69921875" style="107" customWidth="1"/>
    <col min="4131" max="4132" width="3.296875" style="107" customWidth="1"/>
    <col min="4133" max="4352" width="6.69921875" style="107"/>
    <col min="4353" max="4353" width="3.59765625" style="107" customWidth="1"/>
    <col min="4354" max="4356" width="5.296875" style="107" customWidth="1"/>
    <col min="4357" max="4362" width="4.09765625" style="107" customWidth="1"/>
    <col min="4363" max="4365" width="3.09765625" style="107" bestFit="1" customWidth="1"/>
    <col min="4366" max="4366" width="3.09765625" style="107" customWidth="1"/>
    <col min="4367" max="4367" width="3.296875" style="107" bestFit="1" customWidth="1"/>
    <col min="4368" max="4368" width="5.296875" style="107" bestFit="1" customWidth="1"/>
    <col min="4369" max="4370" width="3.296875" style="107" customWidth="1"/>
    <col min="4371" max="4373" width="4.59765625" style="107" customWidth="1"/>
    <col min="4374" max="4375" width="3.796875" style="107" customWidth="1"/>
    <col min="4376" max="4376" width="4.296875" style="107" customWidth="1"/>
    <col min="4377" max="4378" width="3.796875" style="107" customWidth="1"/>
    <col min="4379" max="4380" width="4.59765625" style="107" customWidth="1"/>
    <col min="4381" max="4383" width="3.59765625" style="107" customWidth="1"/>
    <col min="4384" max="4384" width="5.09765625" style="107" customWidth="1"/>
    <col min="4385" max="4385" width="4" style="107" customWidth="1"/>
    <col min="4386" max="4386" width="4.69921875" style="107" customWidth="1"/>
    <col min="4387" max="4388" width="3.296875" style="107" customWidth="1"/>
    <col min="4389" max="4608" width="6.69921875" style="107"/>
    <col min="4609" max="4609" width="3.59765625" style="107" customWidth="1"/>
    <col min="4610" max="4612" width="5.296875" style="107" customWidth="1"/>
    <col min="4613" max="4618" width="4.09765625" style="107" customWidth="1"/>
    <col min="4619" max="4621" width="3.09765625" style="107" bestFit="1" customWidth="1"/>
    <col min="4622" max="4622" width="3.09765625" style="107" customWidth="1"/>
    <col min="4623" max="4623" width="3.296875" style="107" bestFit="1" customWidth="1"/>
    <col min="4624" max="4624" width="5.296875" style="107" bestFit="1" customWidth="1"/>
    <col min="4625" max="4626" width="3.296875" style="107" customWidth="1"/>
    <col min="4627" max="4629" width="4.59765625" style="107" customWidth="1"/>
    <col min="4630" max="4631" width="3.796875" style="107" customWidth="1"/>
    <col min="4632" max="4632" width="4.296875" style="107" customWidth="1"/>
    <col min="4633" max="4634" width="3.796875" style="107" customWidth="1"/>
    <col min="4635" max="4636" width="4.59765625" style="107" customWidth="1"/>
    <col min="4637" max="4639" width="3.59765625" style="107" customWidth="1"/>
    <col min="4640" max="4640" width="5.09765625" style="107" customWidth="1"/>
    <col min="4641" max="4641" width="4" style="107" customWidth="1"/>
    <col min="4642" max="4642" width="4.69921875" style="107" customWidth="1"/>
    <col min="4643" max="4644" width="3.296875" style="107" customWidth="1"/>
    <col min="4645" max="4864" width="6.69921875" style="107"/>
    <col min="4865" max="4865" width="3.59765625" style="107" customWidth="1"/>
    <col min="4866" max="4868" width="5.296875" style="107" customWidth="1"/>
    <col min="4869" max="4874" width="4.09765625" style="107" customWidth="1"/>
    <col min="4875" max="4877" width="3.09765625" style="107" bestFit="1" customWidth="1"/>
    <col min="4878" max="4878" width="3.09765625" style="107" customWidth="1"/>
    <col min="4879" max="4879" width="3.296875" style="107" bestFit="1" customWidth="1"/>
    <col min="4880" max="4880" width="5.296875" style="107" bestFit="1" customWidth="1"/>
    <col min="4881" max="4882" width="3.296875" style="107" customWidth="1"/>
    <col min="4883" max="4885" width="4.59765625" style="107" customWidth="1"/>
    <col min="4886" max="4887" width="3.796875" style="107" customWidth="1"/>
    <col min="4888" max="4888" width="4.296875" style="107" customWidth="1"/>
    <col min="4889" max="4890" width="3.796875" style="107" customWidth="1"/>
    <col min="4891" max="4892" width="4.59765625" style="107" customWidth="1"/>
    <col min="4893" max="4895" width="3.59765625" style="107" customWidth="1"/>
    <col min="4896" max="4896" width="5.09765625" style="107" customWidth="1"/>
    <col min="4897" max="4897" width="4" style="107" customWidth="1"/>
    <col min="4898" max="4898" width="4.69921875" style="107" customWidth="1"/>
    <col min="4899" max="4900" width="3.296875" style="107" customWidth="1"/>
    <col min="4901" max="5120" width="6.69921875" style="107"/>
    <col min="5121" max="5121" width="3.59765625" style="107" customWidth="1"/>
    <col min="5122" max="5124" width="5.296875" style="107" customWidth="1"/>
    <col min="5125" max="5130" width="4.09765625" style="107" customWidth="1"/>
    <col min="5131" max="5133" width="3.09765625" style="107" bestFit="1" customWidth="1"/>
    <col min="5134" max="5134" width="3.09765625" style="107" customWidth="1"/>
    <col min="5135" max="5135" width="3.296875" style="107" bestFit="1" customWidth="1"/>
    <col min="5136" max="5136" width="5.296875" style="107" bestFit="1" customWidth="1"/>
    <col min="5137" max="5138" width="3.296875" style="107" customWidth="1"/>
    <col min="5139" max="5141" width="4.59765625" style="107" customWidth="1"/>
    <col min="5142" max="5143" width="3.796875" style="107" customWidth="1"/>
    <col min="5144" max="5144" width="4.296875" style="107" customWidth="1"/>
    <col min="5145" max="5146" width="3.796875" style="107" customWidth="1"/>
    <col min="5147" max="5148" width="4.59765625" style="107" customWidth="1"/>
    <col min="5149" max="5151" width="3.59765625" style="107" customWidth="1"/>
    <col min="5152" max="5152" width="5.09765625" style="107" customWidth="1"/>
    <col min="5153" max="5153" width="4" style="107" customWidth="1"/>
    <col min="5154" max="5154" width="4.69921875" style="107" customWidth="1"/>
    <col min="5155" max="5156" width="3.296875" style="107" customWidth="1"/>
    <col min="5157" max="5376" width="6.69921875" style="107"/>
    <col min="5377" max="5377" width="3.59765625" style="107" customWidth="1"/>
    <col min="5378" max="5380" width="5.296875" style="107" customWidth="1"/>
    <col min="5381" max="5386" width="4.09765625" style="107" customWidth="1"/>
    <col min="5387" max="5389" width="3.09765625" style="107" bestFit="1" customWidth="1"/>
    <col min="5390" max="5390" width="3.09765625" style="107" customWidth="1"/>
    <col min="5391" max="5391" width="3.296875" style="107" bestFit="1" customWidth="1"/>
    <col min="5392" max="5392" width="5.296875" style="107" bestFit="1" customWidth="1"/>
    <col min="5393" max="5394" width="3.296875" style="107" customWidth="1"/>
    <col min="5395" max="5397" width="4.59765625" style="107" customWidth="1"/>
    <col min="5398" max="5399" width="3.796875" style="107" customWidth="1"/>
    <col min="5400" max="5400" width="4.296875" style="107" customWidth="1"/>
    <col min="5401" max="5402" width="3.796875" style="107" customWidth="1"/>
    <col min="5403" max="5404" width="4.59765625" style="107" customWidth="1"/>
    <col min="5405" max="5407" width="3.59765625" style="107" customWidth="1"/>
    <col min="5408" max="5408" width="5.09765625" style="107" customWidth="1"/>
    <col min="5409" max="5409" width="4" style="107" customWidth="1"/>
    <col min="5410" max="5410" width="4.69921875" style="107" customWidth="1"/>
    <col min="5411" max="5412" width="3.296875" style="107" customWidth="1"/>
    <col min="5413" max="5632" width="6.69921875" style="107"/>
    <col min="5633" max="5633" width="3.59765625" style="107" customWidth="1"/>
    <col min="5634" max="5636" width="5.296875" style="107" customWidth="1"/>
    <col min="5637" max="5642" width="4.09765625" style="107" customWidth="1"/>
    <col min="5643" max="5645" width="3.09765625" style="107" bestFit="1" customWidth="1"/>
    <col min="5646" max="5646" width="3.09765625" style="107" customWidth="1"/>
    <col min="5647" max="5647" width="3.296875" style="107" bestFit="1" customWidth="1"/>
    <col min="5648" max="5648" width="5.296875" style="107" bestFit="1" customWidth="1"/>
    <col min="5649" max="5650" width="3.296875" style="107" customWidth="1"/>
    <col min="5651" max="5653" width="4.59765625" style="107" customWidth="1"/>
    <col min="5654" max="5655" width="3.796875" style="107" customWidth="1"/>
    <col min="5656" max="5656" width="4.296875" style="107" customWidth="1"/>
    <col min="5657" max="5658" width="3.796875" style="107" customWidth="1"/>
    <col min="5659" max="5660" width="4.59765625" style="107" customWidth="1"/>
    <col min="5661" max="5663" width="3.59765625" style="107" customWidth="1"/>
    <col min="5664" max="5664" width="5.09765625" style="107" customWidth="1"/>
    <col min="5665" max="5665" width="4" style="107" customWidth="1"/>
    <col min="5666" max="5666" width="4.69921875" style="107" customWidth="1"/>
    <col min="5667" max="5668" width="3.296875" style="107" customWidth="1"/>
    <col min="5669" max="5888" width="6.69921875" style="107"/>
    <col min="5889" max="5889" width="3.59765625" style="107" customWidth="1"/>
    <col min="5890" max="5892" width="5.296875" style="107" customWidth="1"/>
    <col min="5893" max="5898" width="4.09765625" style="107" customWidth="1"/>
    <col min="5899" max="5901" width="3.09765625" style="107" bestFit="1" customWidth="1"/>
    <col min="5902" max="5902" width="3.09765625" style="107" customWidth="1"/>
    <col min="5903" max="5903" width="3.296875" style="107" bestFit="1" customWidth="1"/>
    <col min="5904" max="5904" width="5.296875" style="107" bestFit="1" customWidth="1"/>
    <col min="5905" max="5906" width="3.296875" style="107" customWidth="1"/>
    <col min="5907" max="5909" width="4.59765625" style="107" customWidth="1"/>
    <col min="5910" max="5911" width="3.796875" style="107" customWidth="1"/>
    <col min="5912" max="5912" width="4.296875" style="107" customWidth="1"/>
    <col min="5913" max="5914" width="3.796875" style="107" customWidth="1"/>
    <col min="5915" max="5916" width="4.59765625" style="107" customWidth="1"/>
    <col min="5917" max="5919" width="3.59765625" style="107" customWidth="1"/>
    <col min="5920" max="5920" width="5.09765625" style="107" customWidth="1"/>
    <col min="5921" max="5921" width="4" style="107" customWidth="1"/>
    <col min="5922" max="5922" width="4.69921875" style="107" customWidth="1"/>
    <col min="5923" max="5924" width="3.296875" style="107" customWidth="1"/>
    <col min="5925" max="6144" width="6.69921875" style="107"/>
    <col min="6145" max="6145" width="3.59765625" style="107" customWidth="1"/>
    <col min="6146" max="6148" width="5.296875" style="107" customWidth="1"/>
    <col min="6149" max="6154" width="4.09765625" style="107" customWidth="1"/>
    <col min="6155" max="6157" width="3.09765625" style="107" bestFit="1" customWidth="1"/>
    <col min="6158" max="6158" width="3.09765625" style="107" customWidth="1"/>
    <col min="6159" max="6159" width="3.296875" style="107" bestFit="1" customWidth="1"/>
    <col min="6160" max="6160" width="5.296875" style="107" bestFit="1" customWidth="1"/>
    <col min="6161" max="6162" width="3.296875" style="107" customWidth="1"/>
    <col min="6163" max="6165" width="4.59765625" style="107" customWidth="1"/>
    <col min="6166" max="6167" width="3.796875" style="107" customWidth="1"/>
    <col min="6168" max="6168" width="4.296875" style="107" customWidth="1"/>
    <col min="6169" max="6170" width="3.796875" style="107" customWidth="1"/>
    <col min="6171" max="6172" width="4.59765625" style="107" customWidth="1"/>
    <col min="6173" max="6175" width="3.59765625" style="107" customWidth="1"/>
    <col min="6176" max="6176" width="5.09765625" style="107" customWidth="1"/>
    <col min="6177" max="6177" width="4" style="107" customWidth="1"/>
    <col min="6178" max="6178" width="4.69921875" style="107" customWidth="1"/>
    <col min="6179" max="6180" width="3.296875" style="107" customWidth="1"/>
    <col min="6181" max="6400" width="6.69921875" style="107"/>
    <col min="6401" max="6401" width="3.59765625" style="107" customWidth="1"/>
    <col min="6402" max="6404" width="5.296875" style="107" customWidth="1"/>
    <col min="6405" max="6410" width="4.09765625" style="107" customWidth="1"/>
    <col min="6411" max="6413" width="3.09765625" style="107" bestFit="1" customWidth="1"/>
    <col min="6414" max="6414" width="3.09765625" style="107" customWidth="1"/>
    <col min="6415" max="6415" width="3.296875" style="107" bestFit="1" customWidth="1"/>
    <col min="6416" max="6416" width="5.296875" style="107" bestFit="1" customWidth="1"/>
    <col min="6417" max="6418" width="3.296875" style="107" customWidth="1"/>
    <col min="6419" max="6421" width="4.59765625" style="107" customWidth="1"/>
    <col min="6422" max="6423" width="3.796875" style="107" customWidth="1"/>
    <col min="6424" max="6424" width="4.296875" style="107" customWidth="1"/>
    <col min="6425" max="6426" width="3.796875" style="107" customWidth="1"/>
    <col min="6427" max="6428" width="4.59765625" style="107" customWidth="1"/>
    <col min="6429" max="6431" width="3.59765625" style="107" customWidth="1"/>
    <col min="6432" max="6432" width="5.09765625" style="107" customWidth="1"/>
    <col min="6433" max="6433" width="4" style="107" customWidth="1"/>
    <col min="6434" max="6434" width="4.69921875" style="107" customWidth="1"/>
    <col min="6435" max="6436" width="3.296875" style="107" customWidth="1"/>
    <col min="6437" max="6656" width="6.69921875" style="107"/>
    <col min="6657" max="6657" width="3.59765625" style="107" customWidth="1"/>
    <col min="6658" max="6660" width="5.296875" style="107" customWidth="1"/>
    <col min="6661" max="6666" width="4.09765625" style="107" customWidth="1"/>
    <col min="6667" max="6669" width="3.09765625" style="107" bestFit="1" customWidth="1"/>
    <col min="6670" max="6670" width="3.09765625" style="107" customWidth="1"/>
    <col min="6671" max="6671" width="3.296875" style="107" bestFit="1" customWidth="1"/>
    <col min="6672" max="6672" width="5.296875" style="107" bestFit="1" customWidth="1"/>
    <col min="6673" max="6674" width="3.296875" style="107" customWidth="1"/>
    <col min="6675" max="6677" width="4.59765625" style="107" customWidth="1"/>
    <col min="6678" max="6679" width="3.796875" style="107" customWidth="1"/>
    <col min="6680" max="6680" width="4.296875" style="107" customWidth="1"/>
    <col min="6681" max="6682" width="3.796875" style="107" customWidth="1"/>
    <col min="6683" max="6684" width="4.59765625" style="107" customWidth="1"/>
    <col min="6685" max="6687" width="3.59765625" style="107" customWidth="1"/>
    <col min="6688" max="6688" width="5.09765625" style="107" customWidth="1"/>
    <col min="6689" max="6689" width="4" style="107" customWidth="1"/>
    <col min="6690" max="6690" width="4.69921875" style="107" customWidth="1"/>
    <col min="6691" max="6692" width="3.296875" style="107" customWidth="1"/>
    <col min="6693" max="6912" width="6.69921875" style="107"/>
    <col min="6913" max="6913" width="3.59765625" style="107" customWidth="1"/>
    <col min="6914" max="6916" width="5.296875" style="107" customWidth="1"/>
    <col min="6917" max="6922" width="4.09765625" style="107" customWidth="1"/>
    <col min="6923" max="6925" width="3.09765625" style="107" bestFit="1" customWidth="1"/>
    <col min="6926" max="6926" width="3.09765625" style="107" customWidth="1"/>
    <col min="6927" max="6927" width="3.296875" style="107" bestFit="1" customWidth="1"/>
    <col min="6928" max="6928" width="5.296875" style="107" bestFit="1" customWidth="1"/>
    <col min="6929" max="6930" width="3.296875" style="107" customWidth="1"/>
    <col min="6931" max="6933" width="4.59765625" style="107" customWidth="1"/>
    <col min="6934" max="6935" width="3.796875" style="107" customWidth="1"/>
    <col min="6936" max="6936" width="4.296875" style="107" customWidth="1"/>
    <col min="6937" max="6938" width="3.796875" style="107" customWidth="1"/>
    <col min="6939" max="6940" width="4.59765625" style="107" customWidth="1"/>
    <col min="6941" max="6943" width="3.59765625" style="107" customWidth="1"/>
    <col min="6944" max="6944" width="5.09765625" style="107" customWidth="1"/>
    <col min="6945" max="6945" width="4" style="107" customWidth="1"/>
    <col min="6946" max="6946" width="4.69921875" style="107" customWidth="1"/>
    <col min="6947" max="6948" width="3.296875" style="107" customWidth="1"/>
    <col min="6949" max="7168" width="6.69921875" style="107"/>
    <col min="7169" max="7169" width="3.59765625" style="107" customWidth="1"/>
    <col min="7170" max="7172" width="5.296875" style="107" customWidth="1"/>
    <col min="7173" max="7178" width="4.09765625" style="107" customWidth="1"/>
    <col min="7179" max="7181" width="3.09765625" style="107" bestFit="1" customWidth="1"/>
    <col min="7182" max="7182" width="3.09765625" style="107" customWidth="1"/>
    <col min="7183" max="7183" width="3.296875" style="107" bestFit="1" customWidth="1"/>
    <col min="7184" max="7184" width="5.296875" style="107" bestFit="1" customWidth="1"/>
    <col min="7185" max="7186" width="3.296875" style="107" customWidth="1"/>
    <col min="7187" max="7189" width="4.59765625" style="107" customWidth="1"/>
    <col min="7190" max="7191" width="3.796875" style="107" customWidth="1"/>
    <col min="7192" max="7192" width="4.296875" style="107" customWidth="1"/>
    <col min="7193" max="7194" width="3.796875" style="107" customWidth="1"/>
    <col min="7195" max="7196" width="4.59765625" style="107" customWidth="1"/>
    <col min="7197" max="7199" width="3.59765625" style="107" customWidth="1"/>
    <col min="7200" max="7200" width="5.09765625" style="107" customWidth="1"/>
    <col min="7201" max="7201" width="4" style="107" customWidth="1"/>
    <col min="7202" max="7202" width="4.69921875" style="107" customWidth="1"/>
    <col min="7203" max="7204" width="3.296875" style="107" customWidth="1"/>
    <col min="7205" max="7424" width="6.69921875" style="107"/>
    <col min="7425" max="7425" width="3.59765625" style="107" customWidth="1"/>
    <col min="7426" max="7428" width="5.296875" style="107" customWidth="1"/>
    <col min="7429" max="7434" width="4.09765625" style="107" customWidth="1"/>
    <col min="7435" max="7437" width="3.09765625" style="107" bestFit="1" customWidth="1"/>
    <col min="7438" max="7438" width="3.09765625" style="107" customWidth="1"/>
    <col min="7439" max="7439" width="3.296875" style="107" bestFit="1" customWidth="1"/>
    <col min="7440" max="7440" width="5.296875" style="107" bestFit="1" customWidth="1"/>
    <col min="7441" max="7442" width="3.296875" style="107" customWidth="1"/>
    <col min="7443" max="7445" width="4.59765625" style="107" customWidth="1"/>
    <col min="7446" max="7447" width="3.796875" style="107" customWidth="1"/>
    <col min="7448" max="7448" width="4.296875" style="107" customWidth="1"/>
    <col min="7449" max="7450" width="3.796875" style="107" customWidth="1"/>
    <col min="7451" max="7452" width="4.59765625" style="107" customWidth="1"/>
    <col min="7453" max="7455" width="3.59765625" style="107" customWidth="1"/>
    <col min="7456" max="7456" width="5.09765625" style="107" customWidth="1"/>
    <col min="7457" max="7457" width="4" style="107" customWidth="1"/>
    <col min="7458" max="7458" width="4.69921875" style="107" customWidth="1"/>
    <col min="7459" max="7460" width="3.296875" style="107" customWidth="1"/>
    <col min="7461" max="7680" width="6.69921875" style="107"/>
    <col min="7681" max="7681" width="3.59765625" style="107" customWidth="1"/>
    <col min="7682" max="7684" width="5.296875" style="107" customWidth="1"/>
    <col min="7685" max="7690" width="4.09765625" style="107" customWidth="1"/>
    <col min="7691" max="7693" width="3.09765625" style="107" bestFit="1" customWidth="1"/>
    <col min="7694" max="7694" width="3.09765625" style="107" customWidth="1"/>
    <col min="7695" max="7695" width="3.296875" style="107" bestFit="1" customWidth="1"/>
    <col min="7696" max="7696" width="5.296875" style="107" bestFit="1" customWidth="1"/>
    <col min="7697" max="7698" width="3.296875" style="107" customWidth="1"/>
    <col min="7699" max="7701" width="4.59765625" style="107" customWidth="1"/>
    <col min="7702" max="7703" width="3.796875" style="107" customWidth="1"/>
    <col min="7704" max="7704" width="4.296875" style="107" customWidth="1"/>
    <col min="7705" max="7706" width="3.796875" style="107" customWidth="1"/>
    <col min="7707" max="7708" width="4.59765625" style="107" customWidth="1"/>
    <col min="7709" max="7711" width="3.59765625" style="107" customWidth="1"/>
    <col min="7712" max="7712" width="5.09765625" style="107" customWidth="1"/>
    <col min="7713" max="7713" width="4" style="107" customWidth="1"/>
    <col min="7714" max="7714" width="4.69921875" style="107" customWidth="1"/>
    <col min="7715" max="7716" width="3.296875" style="107" customWidth="1"/>
    <col min="7717" max="7936" width="6.69921875" style="107"/>
    <col min="7937" max="7937" width="3.59765625" style="107" customWidth="1"/>
    <col min="7938" max="7940" width="5.296875" style="107" customWidth="1"/>
    <col min="7941" max="7946" width="4.09765625" style="107" customWidth="1"/>
    <col min="7947" max="7949" width="3.09765625" style="107" bestFit="1" customWidth="1"/>
    <col min="7950" max="7950" width="3.09765625" style="107" customWidth="1"/>
    <col min="7951" max="7951" width="3.296875" style="107" bestFit="1" customWidth="1"/>
    <col min="7952" max="7952" width="5.296875" style="107" bestFit="1" customWidth="1"/>
    <col min="7953" max="7954" width="3.296875" style="107" customWidth="1"/>
    <col min="7955" max="7957" width="4.59765625" style="107" customWidth="1"/>
    <col min="7958" max="7959" width="3.796875" style="107" customWidth="1"/>
    <col min="7960" max="7960" width="4.296875" style="107" customWidth="1"/>
    <col min="7961" max="7962" width="3.796875" style="107" customWidth="1"/>
    <col min="7963" max="7964" width="4.59765625" style="107" customWidth="1"/>
    <col min="7965" max="7967" width="3.59765625" style="107" customWidth="1"/>
    <col min="7968" max="7968" width="5.09765625" style="107" customWidth="1"/>
    <col min="7969" max="7969" width="4" style="107" customWidth="1"/>
    <col min="7970" max="7970" width="4.69921875" style="107" customWidth="1"/>
    <col min="7971" max="7972" width="3.296875" style="107" customWidth="1"/>
    <col min="7973" max="8192" width="6.69921875" style="107"/>
    <col min="8193" max="8193" width="3.59765625" style="107" customWidth="1"/>
    <col min="8194" max="8196" width="5.296875" style="107" customWidth="1"/>
    <col min="8197" max="8202" width="4.09765625" style="107" customWidth="1"/>
    <col min="8203" max="8205" width="3.09765625" style="107" bestFit="1" customWidth="1"/>
    <col min="8206" max="8206" width="3.09765625" style="107" customWidth="1"/>
    <col min="8207" max="8207" width="3.296875" style="107" bestFit="1" customWidth="1"/>
    <col min="8208" max="8208" width="5.296875" style="107" bestFit="1" customWidth="1"/>
    <col min="8209" max="8210" width="3.296875" style="107" customWidth="1"/>
    <col min="8211" max="8213" width="4.59765625" style="107" customWidth="1"/>
    <col min="8214" max="8215" width="3.796875" style="107" customWidth="1"/>
    <col min="8216" max="8216" width="4.296875" style="107" customWidth="1"/>
    <col min="8217" max="8218" width="3.796875" style="107" customWidth="1"/>
    <col min="8219" max="8220" width="4.59765625" style="107" customWidth="1"/>
    <col min="8221" max="8223" width="3.59765625" style="107" customWidth="1"/>
    <col min="8224" max="8224" width="5.09765625" style="107" customWidth="1"/>
    <col min="8225" max="8225" width="4" style="107" customWidth="1"/>
    <col min="8226" max="8226" width="4.69921875" style="107" customWidth="1"/>
    <col min="8227" max="8228" width="3.296875" style="107" customWidth="1"/>
    <col min="8229" max="8448" width="6.69921875" style="107"/>
    <col min="8449" max="8449" width="3.59765625" style="107" customWidth="1"/>
    <col min="8450" max="8452" width="5.296875" style="107" customWidth="1"/>
    <col min="8453" max="8458" width="4.09765625" style="107" customWidth="1"/>
    <col min="8459" max="8461" width="3.09765625" style="107" bestFit="1" customWidth="1"/>
    <col min="8462" max="8462" width="3.09765625" style="107" customWidth="1"/>
    <col min="8463" max="8463" width="3.296875" style="107" bestFit="1" customWidth="1"/>
    <col min="8464" max="8464" width="5.296875" style="107" bestFit="1" customWidth="1"/>
    <col min="8465" max="8466" width="3.296875" style="107" customWidth="1"/>
    <col min="8467" max="8469" width="4.59765625" style="107" customWidth="1"/>
    <col min="8470" max="8471" width="3.796875" style="107" customWidth="1"/>
    <col min="8472" max="8472" width="4.296875" style="107" customWidth="1"/>
    <col min="8473" max="8474" width="3.796875" style="107" customWidth="1"/>
    <col min="8475" max="8476" width="4.59765625" style="107" customWidth="1"/>
    <col min="8477" max="8479" width="3.59765625" style="107" customWidth="1"/>
    <col min="8480" max="8480" width="5.09765625" style="107" customWidth="1"/>
    <col min="8481" max="8481" width="4" style="107" customWidth="1"/>
    <col min="8482" max="8482" width="4.69921875" style="107" customWidth="1"/>
    <col min="8483" max="8484" width="3.296875" style="107" customWidth="1"/>
    <col min="8485" max="8704" width="6.69921875" style="107"/>
    <col min="8705" max="8705" width="3.59765625" style="107" customWidth="1"/>
    <col min="8706" max="8708" width="5.296875" style="107" customWidth="1"/>
    <col min="8709" max="8714" width="4.09765625" style="107" customWidth="1"/>
    <col min="8715" max="8717" width="3.09765625" style="107" bestFit="1" customWidth="1"/>
    <col min="8718" max="8718" width="3.09765625" style="107" customWidth="1"/>
    <col min="8719" max="8719" width="3.296875" style="107" bestFit="1" customWidth="1"/>
    <col min="8720" max="8720" width="5.296875" style="107" bestFit="1" customWidth="1"/>
    <col min="8721" max="8722" width="3.296875" style="107" customWidth="1"/>
    <col min="8723" max="8725" width="4.59765625" style="107" customWidth="1"/>
    <col min="8726" max="8727" width="3.796875" style="107" customWidth="1"/>
    <col min="8728" max="8728" width="4.296875" style="107" customWidth="1"/>
    <col min="8729" max="8730" width="3.796875" style="107" customWidth="1"/>
    <col min="8731" max="8732" width="4.59765625" style="107" customWidth="1"/>
    <col min="8733" max="8735" width="3.59765625" style="107" customWidth="1"/>
    <col min="8736" max="8736" width="5.09765625" style="107" customWidth="1"/>
    <col min="8737" max="8737" width="4" style="107" customWidth="1"/>
    <col min="8738" max="8738" width="4.69921875" style="107" customWidth="1"/>
    <col min="8739" max="8740" width="3.296875" style="107" customWidth="1"/>
    <col min="8741" max="8960" width="6.69921875" style="107"/>
    <col min="8961" max="8961" width="3.59765625" style="107" customWidth="1"/>
    <col min="8962" max="8964" width="5.296875" style="107" customWidth="1"/>
    <col min="8965" max="8970" width="4.09765625" style="107" customWidth="1"/>
    <col min="8971" max="8973" width="3.09765625" style="107" bestFit="1" customWidth="1"/>
    <col min="8974" max="8974" width="3.09765625" style="107" customWidth="1"/>
    <col min="8975" max="8975" width="3.296875" style="107" bestFit="1" customWidth="1"/>
    <col min="8976" max="8976" width="5.296875" style="107" bestFit="1" customWidth="1"/>
    <col min="8977" max="8978" width="3.296875" style="107" customWidth="1"/>
    <col min="8979" max="8981" width="4.59765625" style="107" customWidth="1"/>
    <col min="8982" max="8983" width="3.796875" style="107" customWidth="1"/>
    <col min="8984" max="8984" width="4.296875" style="107" customWidth="1"/>
    <col min="8985" max="8986" width="3.796875" style="107" customWidth="1"/>
    <col min="8987" max="8988" width="4.59765625" style="107" customWidth="1"/>
    <col min="8989" max="8991" width="3.59765625" style="107" customWidth="1"/>
    <col min="8992" max="8992" width="5.09765625" style="107" customWidth="1"/>
    <col min="8993" max="8993" width="4" style="107" customWidth="1"/>
    <col min="8994" max="8994" width="4.69921875" style="107" customWidth="1"/>
    <col min="8995" max="8996" width="3.296875" style="107" customWidth="1"/>
    <col min="8997" max="9216" width="6.69921875" style="107"/>
    <col min="9217" max="9217" width="3.59765625" style="107" customWidth="1"/>
    <col min="9218" max="9220" width="5.296875" style="107" customWidth="1"/>
    <col min="9221" max="9226" width="4.09765625" style="107" customWidth="1"/>
    <col min="9227" max="9229" width="3.09765625" style="107" bestFit="1" customWidth="1"/>
    <col min="9230" max="9230" width="3.09765625" style="107" customWidth="1"/>
    <col min="9231" max="9231" width="3.296875" style="107" bestFit="1" customWidth="1"/>
    <col min="9232" max="9232" width="5.296875" style="107" bestFit="1" customWidth="1"/>
    <col min="9233" max="9234" width="3.296875" style="107" customWidth="1"/>
    <col min="9235" max="9237" width="4.59765625" style="107" customWidth="1"/>
    <col min="9238" max="9239" width="3.796875" style="107" customWidth="1"/>
    <col min="9240" max="9240" width="4.296875" style="107" customWidth="1"/>
    <col min="9241" max="9242" width="3.796875" style="107" customWidth="1"/>
    <col min="9243" max="9244" width="4.59765625" style="107" customWidth="1"/>
    <col min="9245" max="9247" width="3.59765625" style="107" customWidth="1"/>
    <col min="9248" max="9248" width="5.09765625" style="107" customWidth="1"/>
    <col min="9249" max="9249" width="4" style="107" customWidth="1"/>
    <col min="9250" max="9250" width="4.69921875" style="107" customWidth="1"/>
    <col min="9251" max="9252" width="3.296875" style="107" customWidth="1"/>
    <col min="9253" max="9472" width="6.69921875" style="107"/>
    <col min="9473" max="9473" width="3.59765625" style="107" customWidth="1"/>
    <col min="9474" max="9476" width="5.296875" style="107" customWidth="1"/>
    <col min="9477" max="9482" width="4.09765625" style="107" customWidth="1"/>
    <col min="9483" max="9485" width="3.09765625" style="107" bestFit="1" customWidth="1"/>
    <col min="9486" max="9486" width="3.09765625" style="107" customWidth="1"/>
    <col min="9487" max="9487" width="3.296875" style="107" bestFit="1" customWidth="1"/>
    <col min="9488" max="9488" width="5.296875" style="107" bestFit="1" customWidth="1"/>
    <col min="9489" max="9490" width="3.296875" style="107" customWidth="1"/>
    <col min="9491" max="9493" width="4.59765625" style="107" customWidth="1"/>
    <col min="9494" max="9495" width="3.796875" style="107" customWidth="1"/>
    <col min="9496" max="9496" width="4.296875" style="107" customWidth="1"/>
    <col min="9497" max="9498" width="3.796875" style="107" customWidth="1"/>
    <col min="9499" max="9500" width="4.59765625" style="107" customWidth="1"/>
    <col min="9501" max="9503" width="3.59765625" style="107" customWidth="1"/>
    <col min="9504" max="9504" width="5.09765625" style="107" customWidth="1"/>
    <col min="9505" max="9505" width="4" style="107" customWidth="1"/>
    <col min="9506" max="9506" width="4.69921875" style="107" customWidth="1"/>
    <col min="9507" max="9508" width="3.296875" style="107" customWidth="1"/>
    <col min="9509" max="9728" width="6.69921875" style="107"/>
    <col min="9729" max="9729" width="3.59765625" style="107" customWidth="1"/>
    <col min="9730" max="9732" width="5.296875" style="107" customWidth="1"/>
    <col min="9733" max="9738" width="4.09765625" style="107" customWidth="1"/>
    <col min="9739" max="9741" width="3.09765625" style="107" bestFit="1" customWidth="1"/>
    <col min="9742" max="9742" width="3.09765625" style="107" customWidth="1"/>
    <col min="9743" max="9743" width="3.296875" style="107" bestFit="1" customWidth="1"/>
    <col min="9744" max="9744" width="5.296875" style="107" bestFit="1" customWidth="1"/>
    <col min="9745" max="9746" width="3.296875" style="107" customWidth="1"/>
    <col min="9747" max="9749" width="4.59765625" style="107" customWidth="1"/>
    <col min="9750" max="9751" width="3.796875" style="107" customWidth="1"/>
    <col min="9752" max="9752" width="4.296875" style="107" customWidth="1"/>
    <col min="9753" max="9754" width="3.796875" style="107" customWidth="1"/>
    <col min="9755" max="9756" width="4.59765625" style="107" customWidth="1"/>
    <col min="9757" max="9759" width="3.59765625" style="107" customWidth="1"/>
    <col min="9760" max="9760" width="5.09765625" style="107" customWidth="1"/>
    <col min="9761" max="9761" width="4" style="107" customWidth="1"/>
    <col min="9762" max="9762" width="4.69921875" style="107" customWidth="1"/>
    <col min="9763" max="9764" width="3.296875" style="107" customWidth="1"/>
    <col min="9765" max="9984" width="6.69921875" style="107"/>
    <col min="9985" max="9985" width="3.59765625" style="107" customWidth="1"/>
    <col min="9986" max="9988" width="5.296875" style="107" customWidth="1"/>
    <col min="9989" max="9994" width="4.09765625" style="107" customWidth="1"/>
    <col min="9995" max="9997" width="3.09765625" style="107" bestFit="1" customWidth="1"/>
    <col min="9998" max="9998" width="3.09765625" style="107" customWidth="1"/>
    <col min="9999" max="9999" width="3.296875" style="107" bestFit="1" customWidth="1"/>
    <col min="10000" max="10000" width="5.296875" style="107" bestFit="1" customWidth="1"/>
    <col min="10001" max="10002" width="3.296875" style="107" customWidth="1"/>
    <col min="10003" max="10005" width="4.59765625" style="107" customWidth="1"/>
    <col min="10006" max="10007" width="3.796875" style="107" customWidth="1"/>
    <col min="10008" max="10008" width="4.296875" style="107" customWidth="1"/>
    <col min="10009" max="10010" width="3.796875" style="107" customWidth="1"/>
    <col min="10011" max="10012" width="4.59765625" style="107" customWidth="1"/>
    <col min="10013" max="10015" width="3.59765625" style="107" customWidth="1"/>
    <col min="10016" max="10016" width="5.09765625" style="107" customWidth="1"/>
    <col min="10017" max="10017" width="4" style="107" customWidth="1"/>
    <col min="10018" max="10018" width="4.69921875" style="107" customWidth="1"/>
    <col min="10019" max="10020" width="3.296875" style="107" customWidth="1"/>
    <col min="10021" max="10240" width="6.69921875" style="107"/>
    <col min="10241" max="10241" width="3.59765625" style="107" customWidth="1"/>
    <col min="10242" max="10244" width="5.296875" style="107" customWidth="1"/>
    <col min="10245" max="10250" width="4.09765625" style="107" customWidth="1"/>
    <col min="10251" max="10253" width="3.09765625" style="107" bestFit="1" customWidth="1"/>
    <col min="10254" max="10254" width="3.09765625" style="107" customWidth="1"/>
    <col min="10255" max="10255" width="3.296875" style="107" bestFit="1" customWidth="1"/>
    <col min="10256" max="10256" width="5.296875" style="107" bestFit="1" customWidth="1"/>
    <col min="10257" max="10258" width="3.296875" style="107" customWidth="1"/>
    <col min="10259" max="10261" width="4.59765625" style="107" customWidth="1"/>
    <col min="10262" max="10263" width="3.796875" style="107" customWidth="1"/>
    <col min="10264" max="10264" width="4.296875" style="107" customWidth="1"/>
    <col min="10265" max="10266" width="3.796875" style="107" customWidth="1"/>
    <col min="10267" max="10268" width="4.59765625" style="107" customWidth="1"/>
    <col min="10269" max="10271" width="3.59765625" style="107" customWidth="1"/>
    <col min="10272" max="10272" width="5.09765625" style="107" customWidth="1"/>
    <col min="10273" max="10273" width="4" style="107" customWidth="1"/>
    <col min="10274" max="10274" width="4.69921875" style="107" customWidth="1"/>
    <col min="10275" max="10276" width="3.296875" style="107" customWidth="1"/>
    <col min="10277" max="10496" width="6.69921875" style="107"/>
    <col min="10497" max="10497" width="3.59765625" style="107" customWidth="1"/>
    <col min="10498" max="10500" width="5.296875" style="107" customWidth="1"/>
    <col min="10501" max="10506" width="4.09765625" style="107" customWidth="1"/>
    <col min="10507" max="10509" width="3.09765625" style="107" bestFit="1" customWidth="1"/>
    <col min="10510" max="10510" width="3.09765625" style="107" customWidth="1"/>
    <col min="10511" max="10511" width="3.296875" style="107" bestFit="1" customWidth="1"/>
    <col min="10512" max="10512" width="5.296875" style="107" bestFit="1" customWidth="1"/>
    <col min="10513" max="10514" width="3.296875" style="107" customWidth="1"/>
    <col min="10515" max="10517" width="4.59765625" style="107" customWidth="1"/>
    <col min="10518" max="10519" width="3.796875" style="107" customWidth="1"/>
    <col min="10520" max="10520" width="4.296875" style="107" customWidth="1"/>
    <col min="10521" max="10522" width="3.796875" style="107" customWidth="1"/>
    <col min="10523" max="10524" width="4.59765625" style="107" customWidth="1"/>
    <col min="10525" max="10527" width="3.59765625" style="107" customWidth="1"/>
    <col min="10528" max="10528" width="5.09765625" style="107" customWidth="1"/>
    <col min="10529" max="10529" width="4" style="107" customWidth="1"/>
    <col min="10530" max="10530" width="4.69921875" style="107" customWidth="1"/>
    <col min="10531" max="10532" width="3.296875" style="107" customWidth="1"/>
    <col min="10533" max="10752" width="6.69921875" style="107"/>
    <col min="10753" max="10753" width="3.59765625" style="107" customWidth="1"/>
    <col min="10754" max="10756" width="5.296875" style="107" customWidth="1"/>
    <col min="10757" max="10762" width="4.09765625" style="107" customWidth="1"/>
    <col min="10763" max="10765" width="3.09765625" style="107" bestFit="1" customWidth="1"/>
    <col min="10766" max="10766" width="3.09765625" style="107" customWidth="1"/>
    <col min="10767" max="10767" width="3.296875" style="107" bestFit="1" customWidth="1"/>
    <col min="10768" max="10768" width="5.296875" style="107" bestFit="1" customWidth="1"/>
    <col min="10769" max="10770" width="3.296875" style="107" customWidth="1"/>
    <col min="10771" max="10773" width="4.59765625" style="107" customWidth="1"/>
    <col min="10774" max="10775" width="3.796875" style="107" customWidth="1"/>
    <col min="10776" max="10776" width="4.296875" style="107" customWidth="1"/>
    <col min="10777" max="10778" width="3.796875" style="107" customWidth="1"/>
    <col min="10779" max="10780" width="4.59765625" style="107" customWidth="1"/>
    <col min="10781" max="10783" width="3.59765625" style="107" customWidth="1"/>
    <col min="10784" max="10784" width="5.09765625" style="107" customWidth="1"/>
    <col min="10785" max="10785" width="4" style="107" customWidth="1"/>
    <col min="10786" max="10786" width="4.69921875" style="107" customWidth="1"/>
    <col min="10787" max="10788" width="3.296875" style="107" customWidth="1"/>
    <col min="10789" max="11008" width="6.69921875" style="107"/>
    <col min="11009" max="11009" width="3.59765625" style="107" customWidth="1"/>
    <col min="11010" max="11012" width="5.296875" style="107" customWidth="1"/>
    <col min="11013" max="11018" width="4.09765625" style="107" customWidth="1"/>
    <col min="11019" max="11021" width="3.09765625" style="107" bestFit="1" customWidth="1"/>
    <col min="11022" max="11022" width="3.09765625" style="107" customWidth="1"/>
    <col min="11023" max="11023" width="3.296875" style="107" bestFit="1" customWidth="1"/>
    <col min="11024" max="11024" width="5.296875" style="107" bestFit="1" customWidth="1"/>
    <col min="11025" max="11026" width="3.296875" style="107" customWidth="1"/>
    <col min="11027" max="11029" width="4.59765625" style="107" customWidth="1"/>
    <col min="11030" max="11031" width="3.796875" style="107" customWidth="1"/>
    <col min="11032" max="11032" width="4.296875" style="107" customWidth="1"/>
    <col min="11033" max="11034" width="3.796875" style="107" customWidth="1"/>
    <col min="11035" max="11036" width="4.59765625" style="107" customWidth="1"/>
    <col min="11037" max="11039" width="3.59765625" style="107" customWidth="1"/>
    <col min="11040" max="11040" width="5.09765625" style="107" customWidth="1"/>
    <col min="11041" max="11041" width="4" style="107" customWidth="1"/>
    <col min="11042" max="11042" width="4.69921875" style="107" customWidth="1"/>
    <col min="11043" max="11044" width="3.296875" style="107" customWidth="1"/>
    <col min="11045" max="11264" width="6.69921875" style="107"/>
    <col min="11265" max="11265" width="3.59765625" style="107" customWidth="1"/>
    <col min="11266" max="11268" width="5.296875" style="107" customWidth="1"/>
    <col min="11269" max="11274" width="4.09765625" style="107" customWidth="1"/>
    <col min="11275" max="11277" width="3.09765625" style="107" bestFit="1" customWidth="1"/>
    <col min="11278" max="11278" width="3.09765625" style="107" customWidth="1"/>
    <col min="11279" max="11279" width="3.296875" style="107" bestFit="1" customWidth="1"/>
    <col min="11280" max="11280" width="5.296875" style="107" bestFit="1" customWidth="1"/>
    <col min="11281" max="11282" width="3.296875" style="107" customWidth="1"/>
    <col min="11283" max="11285" width="4.59765625" style="107" customWidth="1"/>
    <col min="11286" max="11287" width="3.796875" style="107" customWidth="1"/>
    <col min="11288" max="11288" width="4.296875" style="107" customWidth="1"/>
    <col min="11289" max="11290" width="3.796875" style="107" customWidth="1"/>
    <col min="11291" max="11292" width="4.59765625" style="107" customWidth="1"/>
    <col min="11293" max="11295" width="3.59765625" style="107" customWidth="1"/>
    <col min="11296" max="11296" width="5.09765625" style="107" customWidth="1"/>
    <col min="11297" max="11297" width="4" style="107" customWidth="1"/>
    <col min="11298" max="11298" width="4.69921875" style="107" customWidth="1"/>
    <col min="11299" max="11300" width="3.296875" style="107" customWidth="1"/>
    <col min="11301" max="11520" width="6.69921875" style="107"/>
    <col min="11521" max="11521" width="3.59765625" style="107" customWidth="1"/>
    <col min="11522" max="11524" width="5.296875" style="107" customWidth="1"/>
    <col min="11525" max="11530" width="4.09765625" style="107" customWidth="1"/>
    <col min="11531" max="11533" width="3.09765625" style="107" bestFit="1" customWidth="1"/>
    <col min="11534" max="11534" width="3.09765625" style="107" customWidth="1"/>
    <col min="11535" max="11535" width="3.296875" style="107" bestFit="1" customWidth="1"/>
    <col min="11536" max="11536" width="5.296875" style="107" bestFit="1" customWidth="1"/>
    <col min="11537" max="11538" width="3.296875" style="107" customWidth="1"/>
    <col min="11539" max="11541" width="4.59765625" style="107" customWidth="1"/>
    <col min="11542" max="11543" width="3.796875" style="107" customWidth="1"/>
    <col min="11544" max="11544" width="4.296875" style="107" customWidth="1"/>
    <col min="11545" max="11546" width="3.796875" style="107" customWidth="1"/>
    <col min="11547" max="11548" width="4.59765625" style="107" customWidth="1"/>
    <col min="11549" max="11551" width="3.59765625" style="107" customWidth="1"/>
    <col min="11552" max="11552" width="5.09765625" style="107" customWidth="1"/>
    <col min="11553" max="11553" width="4" style="107" customWidth="1"/>
    <col min="11554" max="11554" width="4.69921875" style="107" customWidth="1"/>
    <col min="11555" max="11556" width="3.296875" style="107" customWidth="1"/>
    <col min="11557" max="11776" width="6.69921875" style="107"/>
    <col min="11777" max="11777" width="3.59765625" style="107" customWidth="1"/>
    <col min="11778" max="11780" width="5.296875" style="107" customWidth="1"/>
    <col min="11781" max="11786" width="4.09765625" style="107" customWidth="1"/>
    <col min="11787" max="11789" width="3.09765625" style="107" bestFit="1" customWidth="1"/>
    <col min="11790" max="11790" width="3.09765625" style="107" customWidth="1"/>
    <col min="11791" max="11791" width="3.296875" style="107" bestFit="1" customWidth="1"/>
    <col min="11792" max="11792" width="5.296875" style="107" bestFit="1" customWidth="1"/>
    <col min="11793" max="11794" width="3.296875" style="107" customWidth="1"/>
    <col min="11795" max="11797" width="4.59765625" style="107" customWidth="1"/>
    <col min="11798" max="11799" width="3.796875" style="107" customWidth="1"/>
    <col min="11800" max="11800" width="4.296875" style="107" customWidth="1"/>
    <col min="11801" max="11802" width="3.796875" style="107" customWidth="1"/>
    <col min="11803" max="11804" width="4.59765625" style="107" customWidth="1"/>
    <col min="11805" max="11807" width="3.59765625" style="107" customWidth="1"/>
    <col min="11808" max="11808" width="5.09765625" style="107" customWidth="1"/>
    <col min="11809" max="11809" width="4" style="107" customWidth="1"/>
    <col min="11810" max="11810" width="4.69921875" style="107" customWidth="1"/>
    <col min="11811" max="11812" width="3.296875" style="107" customWidth="1"/>
    <col min="11813" max="12032" width="6.69921875" style="107"/>
    <col min="12033" max="12033" width="3.59765625" style="107" customWidth="1"/>
    <col min="12034" max="12036" width="5.296875" style="107" customWidth="1"/>
    <col min="12037" max="12042" width="4.09765625" style="107" customWidth="1"/>
    <col min="12043" max="12045" width="3.09765625" style="107" bestFit="1" customWidth="1"/>
    <col min="12046" max="12046" width="3.09765625" style="107" customWidth="1"/>
    <col min="12047" max="12047" width="3.296875" style="107" bestFit="1" customWidth="1"/>
    <col min="12048" max="12048" width="5.296875" style="107" bestFit="1" customWidth="1"/>
    <col min="12049" max="12050" width="3.296875" style="107" customWidth="1"/>
    <col min="12051" max="12053" width="4.59765625" style="107" customWidth="1"/>
    <col min="12054" max="12055" width="3.796875" style="107" customWidth="1"/>
    <col min="12056" max="12056" width="4.296875" style="107" customWidth="1"/>
    <col min="12057" max="12058" width="3.796875" style="107" customWidth="1"/>
    <col min="12059" max="12060" width="4.59765625" style="107" customWidth="1"/>
    <col min="12061" max="12063" width="3.59765625" style="107" customWidth="1"/>
    <col min="12064" max="12064" width="5.09765625" style="107" customWidth="1"/>
    <col min="12065" max="12065" width="4" style="107" customWidth="1"/>
    <col min="12066" max="12066" width="4.69921875" style="107" customWidth="1"/>
    <col min="12067" max="12068" width="3.296875" style="107" customWidth="1"/>
    <col min="12069" max="12288" width="6.69921875" style="107"/>
    <col min="12289" max="12289" width="3.59765625" style="107" customWidth="1"/>
    <col min="12290" max="12292" width="5.296875" style="107" customWidth="1"/>
    <col min="12293" max="12298" width="4.09765625" style="107" customWidth="1"/>
    <col min="12299" max="12301" width="3.09765625" style="107" bestFit="1" customWidth="1"/>
    <col min="12302" max="12302" width="3.09765625" style="107" customWidth="1"/>
    <col min="12303" max="12303" width="3.296875" style="107" bestFit="1" customWidth="1"/>
    <col min="12304" max="12304" width="5.296875" style="107" bestFit="1" customWidth="1"/>
    <col min="12305" max="12306" width="3.296875" style="107" customWidth="1"/>
    <col min="12307" max="12309" width="4.59765625" style="107" customWidth="1"/>
    <col min="12310" max="12311" width="3.796875" style="107" customWidth="1"/>
    <col min="12312" max="12312" width="4.296875" style="107" customWidth="1"/>
    <col min="12313" max="12314" width="3.796875" style="107" customWidth="1"/>
    <col min="12315" max="12316" width="4.59765625" style="107" customWidth="1"/>
    <col min="12317" max="12319" width="3.59765625" style="107" customWidth="1"/>
    <col min="12320" max="12320" width="5.09765625" style="107" customWidth="1"/>
    <col min="12321" max="12321" width="4" style="107" customWidth="1"/>
    <col min="12322" max="12322" width="4.69921875" style="107" customWidth="1"/>
    <col min="12323" max="12324" width="3.296875" style="107" customWidth="1"/>
    <col min="12325" max="12544" width="6.69921875" style="107"/>
    <col min="12545" max="12545" width="3.59765625" style="107" customWidth="1"/>
    <col min="12546" max="12548" width="5.296875" style="107" customWidth="1"/>
    <col min="12549" max="12554" width="4.09765625" style="107" customWidth="1"/>
    <col min="12555" max="12557" width="3.09765625" style="107" bestFit="1" customWidth="1"/>
    <col min="12558" max="12558" width="3.09765625" style="107" customWidth="1"/>
    <col min="12559" max="12559" width="3.296875" style="107" bestFit="1" customWidth="1"/>
    <col min="12560" max="12560" width="5.296875" style="107" bestFit="1" customWidth="1"/>
    <col min="12561" max="12562" width="3.296875" style="107" customWidth="1"/>
    <col min="12563" max="12565" width="4.59765625" style="107" customWidth="1"/>
    <col min="12566" max="12567" width="3.796875" style="107" customWidth="1"/>
    <col min="12568" max="12568" width="4.296875" style="107" customWidth="1"/>
    <col min="12569" max="12570" width="3.796875" style="107" customWidth="1"/>
    <col min="12571" max="12572" width="4.59765625" style="107" customWidth="1"/>
    <col min="12573" max="12575" width="3.59765625" style="107" customWidth="1"/>
    <col min="12576" max="12576" width="5.09765625" style="107" customWidth="1"/>
    <col min="12577" max="12577" width="4" style="107" customWidth="1"/>
    <col min="12578" max="12578" width="4.69921875" style="107" customWidth="1"/>
    <col min="12579" max="12580" width="3.296875" style="107" customWidth="1"/>
    <col min="12581" max="12800" width="6.69921875" style="107"/>
    <col min="12801" max="12801" width="3.59765625" style="107" customWidth="1"/>
    <col min="12802" max="12804" width="5.296875" style="107" customWidth="1"/>
    <col min="12805" max="12810" width="4.09765625" style="107" customWidth="1"/>
    <col min="12811" max="12813" width="3.09765625" style="107" bestFit="1" customWidth="1"/>
    <col min="12814" max="12814" width="3.09765625" style="107" customWidth="1"/>
    <col min="12815" max="12815" width="3.296875" style="107" bestFit="1" customWidth="1"/>
    <col min="12816" max="12816" width="5.296875" style="107" bestFit="1" customWidth="1"/>
    <col min="12817" max="12818" width="3.296875" style="107" customWidth="1"/>
    <col min="12819" max="12821" width="4.59765625" style="107" customWidth="1"/>
    <col min="12822" max="12823" width="3.796875" style="107" customWidth="1"/>
    <col min="12824" max="12824" width="4.296875" style="107" customWidth="1"/>
    <col min="12825" max="12826" width="3.796875" style="107" customWidth="1"/>
    <col min="12827" max="12828" width="4.59765625" style="107" customWidth="1"/>
    <col min="12829" max="12831" width="3.59765625" style="107" customWidth="1"/>
    <col min="12832" max="12832" width="5.09765625" style="107" customWidth="1"/>
    <col min="12833" max="12833" width="4" style="107" customWidth="1"/>
    <col min="12834" max="12834" width="4.69921875" style="107" customWidth="1"/>
    <col min="12835" max="12836" width="3.296875" style="107" customWidth="1"/>
    <col min="12837" max="13056" width="6.69921875" style="107"/>
    <col min="13057" max="13057" width="3.59765625" style="107" customWidth="1"/>
    <col min="13058" max="13060" width="5.296875" style="107" customWidth="1"/>
    <col min="13061" max="13066" width="4.09765625" style="107" customWidth="1"/>
    <col min="13067" max="13069" width="3.09765625" style="107" bestFit="1" customWidth="1"/>
    <col min="13070" max="13070" width="3.09765625" style="107" customWidth="1"/>
    <col min="13071" max="13071" width="3.296875" style="107" bestFit="1" customWidth="1"/>
    <col min="13072" max="13072" width="5.296875" style="107" bestFit="1" customWidth="1"/>
    <col min="13073" max="13074" width="3.296875" style="107" customWidth="1"/>
    <col min="13075" max="13077" width="4.59765625" style="107" customWidth="1"/>
    <col min="13078" max="13079" width="3.796875" style="107" customWidth="1"/>
    <col min="13080" max="13080" width="4.296875" style="107" customWidth="1"/>
    <col min="13081" max="13082" width="3.796875" style="107" customWidth="1"/>
    <col min="13083" max="13084" width="4.59765625" style="107" customWidth="1"/>
    <col min="13085" max="13087" width="3.59765625" style="107" customWidth="1"/>
    <col min="13088" max="13088" width="5.09765625" style="107" customWidth="1"/>
    <col min="13089" max="13089" width="4" style="107" customWidth="1"/>
    <col min="13090" max="13090" width="4.69921875" style="107" customWidth="1"/>
    <col min="13091" max="13092" width="3.296875" style="107" customWidth="1"/>
    <col min="13093" max="13312" width="6.69921875" style="107"/>
    <col min="13313" max="13313" width="3.59765625" style="107" customWidth="1"/>
    <col min="13314" max="13316" width="5.296875" style="107" customWidth="1"/>
    <col min="13317" max="13322" width="4.09765625" style="107" customWidth="1"/>
    <col min="13323" max="13325" width="3.09765625" style="107" bestFit="1" customWidth="1"/>
    <col min="13326" max="13326" width="3.09765625" style="107" customWidth="1"/>
    <col min="13327" max="13327" width="3.296875" style="107" bestFit="1" customWidth="1"/>
    <col min="13328" max="13328" width="5.296875" style="107" bestFit="1" customWidth="1"/>
    <col min="13329" max="13330" width="3.296875" style="107" customWidth="1"/>
    <col min="13331" max="13333" width="4.59765625" style="107" customWidth="1"/>
    <col min="13334" max="13335" width="3.796875" style="107" customWidth="1"/>
    <col min="13336" max="13336" width="4.296875" style="107" customWidth="1"/>
    <col min="13337" max="13338" width="3.796875" style="107" customWidth="1"/>
    <col min="13339" max="13340" width="4.59765625" style="107" customWidth="1"/>
    <col min="13341" max="13343" width="3.59765625" style="107" customWidth="1"/>
    <col min="13344" max="13344" width="5.09765625" style="107" customWidth="1"/>
    <col min="13345" max="13345" width="4" style="107" customWidth="1"/>
    <col min="13346" max="13346" width="4.69921875" style="107" customWidth="1"/>
    <col min="13347" max="13348" width="3.296875" style="107" customWidth="1"/>
    <col min="13349" max="13568" width="6.69921875" style="107"/>
    <col min="13569" max="13569" width="3.59765625" style="107" customWidth="1"/>
    <col min="13570" max="13572" width="5.296875" style="107" customWidth="1"/>
    <col min="13573" max="13578" width="4.09765625" style="107" customWidth="1"/>
    <col min="13579" max="13581" width="3.09765625" style="107" bestFit="1" customWidth="1"/>
    <col min="13582" max="13582" width="3.09765625" style="107" customWidth="1"/>
    <col min="13583" max="13583" width="3.296875" style="107" bestFit="1" customWidth="1"/>
    <col min="13584" max="13584" width="5.296875" style="107" bestFit="1" customWidth="1"/>
    <col min="13585" max="13586" width="3.296875" style="107" customWidth="1"/>
    <col min="13587" max="13589" width="4.59765625" style="107" customWidth="1"/>
    <col min="13590" max="13591" width="3.796875" style="107" customWidth="1"/>
    <col min="13592" max="13592" width="4.296875" style="107" customWidth="1"/>
    <col min="13593" max="13594" width="3.796875" style="107" customWidth="1"/>
    <col min="13595" max="13596" width="4.59765625" style="107" customWidth="1"/>
    <col min="13597" max="13599" width="3.59765625" style="107" customWidth="1"/>
    <col min="13600" max="13600" width="5.09765625" style="107" customWidth="1"/>
    <col min="13601" max="13601" width="4" style="107" customWidth="1"/>
    <col min="13602" max="13602" width="4.69921875" style="107" customWidth="1"/>
    <col min="13603" max="13604" width="3.296875" style="107" customWidth="1"/>
    <col min="13605" max="13824" width="6.69921875" style="107"/>
    <col min="13825" max="13825" width="3.59765625" style="107" customWidth="1"/>
    <col min="13826" max="13828" width="5.296875" style="107" customWidth="1"/>
    <col min="13829" max="13834" width="4.09765625" style="107" customWidth="1"/>
    <col min="13835" max="13837" width="3.09765625" style="107" bestFit="1" customWidth="1"/>
    <col min="13838" max="13838" width="3.09765625" style="107" customWidth="1"/>
    <col min="13839" max="13839" width="3.296875" style="107" bestFit="1" customWidth="1"/>
    <col min="13840" max="13840" width="5.296875" style="107" bestFit="1" customWidth="1"/>
    <col min="13841" max="13842" width="3.296875" style="107" customWidth="1"/>
    <col min="13843" max="13845" width="4.59765625" style="107" customWidth="1"/>
    <col min="13846" max="13847" width="3.796875" style="107" customWidth="1"/>
    <col min="13848" max="13848" width="4.296875" style="107" customWidth="1"/>
    <col min="13849" max="13850" width="3.796875" style="107" customWidth="1"/>
    <col min="13851" max="13852" width="4.59765625" style="107" customWidth="1"/>
    <col min="13853" max="13855" width="3.59765625" style="107" customWidth="1"/>
    <col min="13856" max="13856" width="5.09765625" style="107" customWidth="1"/>
    <col min="13857" max="13857" width="4" style="107" customWidth="1"/>
    <col min="13858" max="13858" width="4.69921875" style="107" customWidth="1"/>
    <col min="13859" max="13860" width="3.296875" style="107" customWidth="1"/>
    <col min="13861" max="14080" width="6.69921875" style="107"/>
    <col min="14081" max="14081" width="3.59765625" style="107" customWidth="1"/>
    <col min="14082" max="14084" width="5.296875" style="107" customWidth="1"/>
    <col min="14085" max="14090" width="4.09765625" style="107" customWidth="1"/>
    <col min="14091" max="14093" width="3.09765625" style="107" bestFit="1" customWidth="1"/>
    <col min="14094" max="14094" width="3.09765625" style="107" customWidth="1"/>
    <col min="14095" max="14095" width="3.296875" style="107" bestFit="1" customWidth="1"/>
    <col min="14096" max="14096" width="5.296875" style="107" bestFit="1" customWidth="1"/>
    <col min="14097" max="14098" width="3.296875" style="107" customWidth="1"/>
    <col min="14099" max="14101" width="4.59765625" style="107" customWidth="1"/>
    <col min="14102" max="14103" width="3.796875" style="107" customWidth="1"/>
    <col min="14104" max="14104" width="4.296875" style="107" customWidth="1"/>
    <col min="14105" max="14106" width="3.796875" style="107" customWidth="1"/>
    <col min="14107" max="14108" width="4.59765625" style="107" customWidth="1"/>
    <col min="14109" max="14111" width="3.59765625" style="107" customWidth="1"/>
    <col min="14112" max="14112" width="5.09765625" style="107" customWidth="1"/>
    <col min="14113" max="14113" width="4" style="107" customWidth="1"/>
    <col min="14114" max="14114" width="4.69921875" style="107" customWidth="1"/>
    <col min="14115" max="14116" width="3.296875" style="107" customWidth="1"/>
    <col min="14117" max="14336" width="6.69921875" style="107"/>
    <col min="14337" max="14337" width="3.59765625" style="107" customWidth="1"/>
    <col min="14338" max="14340" width="5.296875" style="107" customWidth="1"/>
    <col min="14341" max="14346" width="4.09765625" style="107" customWidth="1"/>
    <col min="14347" max="14349" width="3.09765625" style="107" bestFit="1" customWidth="1"/>
    <col min="14350" max="14350" width="3.09765625" style="107" customWidth="1"/>
    <col min="14351" max="14351" width="3.296875" style="107" bestFit="1" customWidth="1"/>
    <col min="14352" max="14352" width="5.296875" style="107" bestFit="1" customWidth="1"/>
    <col min="14353" max="14354" width="3.296875" style="107" customWidth="1"/>
    <col min="14355" max="14357" width="4.59765625" style="107" customWidth="1"/>
    <col min="14358" max="14359" width="3.796875" style="107" customWidth="1"/>
    <col min="14360" max="14360" width="4.296875" style="107" customWidth="1"/>
    <col min="14361" max="14362" width="3.796875" style="107" customWidth="1"/>
    <col min="14363" max="14364" width="4.59765625" style="107" customWidth="1"/>
    <col min="14365" max="14367" width="3.59765625" style="107" customWidth="1"/>
    <col min="14368" max="14368" width="5.09765625" style="107" customWidth="1"/>
    <col min="14369" max="14369" width="4" style="107" customWidth="1"/>
    <col min="14370" max="14370" width="4.69921875" style="107" customWidth="1"/>
    <col min="14371" max="14372" width="3.296875" style="107" customWidth="1"/>
    <col min="14373" max="14592" width="6.69921875" style="107"/>
    <col min="14593" max="14593" width="3.59765625" style="107" customWidth="1"/>
    <col min="14594" max="14596" width="5.296875" style="107" customWidth="1"/>
    <col min="14597" max="14602" width="4.09765625" style="107" customWidth="1"/>
    <col min="14603" max="14605" width="3.09765625" style="107" bestFit="1" customWidth="1"/>
    <col min="14606" max="14606" width="3.09765625" style="107" customWidth="1"/>
    <col min="14607" max="14607" width="3.296875" style="107" bestFit="1" customWidth="1"/>
    <col min="14608" max="14608" width="5.296875" style="107" bestFit="1" customWidth="1"/>
    <col min="14609" max="14610" width="3.296875" style="107" customWidth="1"/>
    <col min="14611" max="14613" width="4.59765625" style="107" customWidth="1"/>
    <col min="14614" max="14615" width="3.796875" style="107" customWidth="1"/>
    <col min="14616" max="14616" width="4.296875" style="107" customWidth="1"/>
    <col min="14617" max="14618" width="3.796875" style="107" customWidth="1"/>
    <col min="14619" max="14620" width="4.59765625" style="107" customWidth="1"/>
    <col min="14621" max="14623" width="3.59765625" style="107" customWidth="1"/>
    <col min="14624" max="14624" width="5.09765625" style="107" customWidth="1"/>
    <col min="14625" max="14625" width="4" style="107" customWidth="1"/>
    <col min="14626" max="14626" width="4.69921875" style="107" customWidth="1"/>
    <col min="14627" max="14628" width="3.296875" style="107" customWidth="1"/>
    <col min="14629" max="14848" width="6.69921875" style="107"/>
    <col min="14849" max="14849" width="3.59765625" style="107" customWidth="1"/>
    <col min="14850" max="14852" width="5.296875" style="107" customWidth="1"/>
    <col min="14853" max="14858" width="4.09765625" style="107" customWidth="1"/>
    <col min="14859" max="14861" width="3.09765625" style="107" bestFit="1" customWidth="1"/>
    <col min="14862" max="14862" width="3.09765625" style="107" customWidth="1"/>
    <col min="14863" max="14863" width="3.296875" style="107" bestFit="1" customWidth="1"/>
    <col min="14864" max="14864" width="5.296875" style="107" bestFit="1" customWidth="1"/>
    <col min="14865" max="14866" width="3.296875" style="107" customWidth="1"/>
    <col min="14867" max="14869" width="4.59765625" style="107" customWidth="1"/>
    <col min="14870" max="14871" width="3.796875" style="107" customWidth="1"/>
    <col min="14872" max="14872" width="4.296875" style="107" customWidth="1"/>
    <col min="14873" max="14874" width="3.796875" style="107" customWidth="1"/>
    <col min="14875" max="14876" width="4.59765625" style="107" customWidth="1"/>
    <col min="14877" max="14879" width="3.59765625" style="107" customWidth="1"/>
    <col min="14880" max="14880" width="5.09765625" style="107" customWidth="1"/>
    <col min="14881" max="14881" width="4" style="107" customWidth="1"/>
    <col min="14882" max="14882" width="4.69921875" style="107" customWidth="1"/>
    <col min="14883" max="14884" width="3.296875" style="107" customWidth="1"/>
    <col min="14885" max="15104" width="6.69921875" style="107"/>
    <col min="15105" max="15105" width="3.59765625" style="107" customWidth="1"/>
    <col min="15106" max="15108" width="5.296875" style="107" customWidth="1"/>
    <col min="15109" max="15114" width="4.09765625" style="107" customWidth="1"/>
    <col min="15115" max="15117" width="3.09765625" style="107" bestFit="1" customWidth="1"/>
    <col min="15118" max="15118" width="3.09765625" style="107" customWidth="1"/>
    <col min="15119" max="15119" width="3.296875" style="107" bestFit="1" customWidth="1"/>
    <col min="15120" max="15120" width="5.296875" style="107" bestFit="1" customWidth="1"/>
    <col min="15121" max="15122" width="3.296875" style="107" customWidth="1"/>
    <col min="15123" max="15125" width="4.59765625" style="107" customWidth="1"/>
    <col min="15126" max="15127" width="3.796875" style="107" customWidth="1"/>
    <col min="15128" max="15128" width="4.296875" style="107" customWidth="1"/>
    <col min="15129" max="15130" width="3.796875" style="107" customWidth="1"/>
    <col min="15131" max="15132" width="4.59765625" style="107" customWidth="1"/>
    <col min="15133" max="15135" width="3.59765625" style="107" customWidth="1"/>
    <col min="15136" max="15136" width="5.09765625" style="107" customWidth="1"/>
    <col min="15137" max="15137" width="4" style="107" customWidth="1"/>
    <col min="15138" max="15138" width="4.69921875" style="107" customWidth="1"/>
    <col min="15139" max="15140" width="3.296875" style="107" customWidth="1"/>
    <col min="15141" max="15360" width="6.69921875" style="107"/>
    <col min="15361" max="15361" width="3.59765625" style="107" customWidth="1"/>
    <col min="15362" max="15364" width="5.296875" style="107" customWidth="1"/>
    <col min="15365" max="15370" width="4.09765625" style="107" customWidth="1"/>
    <col min="15371" max="15373" width="3.09765625" style="107" bestFit="1" customWidth="1"/>
    <col min="15374" max="15374" width="3.09765625" style="107" customWidth="1"/>
    <col min="15375" max="15375" width="3.296875" style="107" bestFit="1" customWidth="1"/>
    <col min="15376" max="15376" width="5.296875" style="107" bestFit="1" customWidth="1"/>
    <col min="15377" max="15378" width="3.296875" style="107" customWidth="1"/>
    <col min="15379" max="15381" width="4.59765625" style="107" customWidth="1"/>
    <col min="15382" max="15383" width="3.796875" style="107" customWidth="1"/>
    <col min="15384" max="15384" width="4.296875" style="107" customWidth="1"/>
    <col min="15385" max="15386" width="3.796875" style="107" customWidth="1"/>
    <col min="15387" max="15388" width="4.59765625" style="107" customWidth="1"/>
    <col min="15389" max="15391" width="3.59765625" style="107" customWidth="1"/>
    <col min="15392" max="15392" width="5.09765625" style="107" customWidth="1"/>
    <col min="15393" max="15393" width="4" style="107" customWidth="1"/>
    <col min="15394" max="15394" width="4.69921875" style="107" customWidth="1"/>
    <col min="15395" max="15396" width="3.296875" style="107" customWidth="1"/>
    <col min="15397" max="15616" width="6.69921875" style="107"/>
    <col min="15617" max="15617" width="3.59765625" style="107" customWidth="1"/>
    <col min="15618" max="15620" width="5.296875" style="107" customWidth="1"/>
    <col min="15621" max="15626" width="4.09765625" style="107" customWidth="1"/>
    <col min="15627" max="15629" width="3.09765625" style="107" bestFit="1" customWidth="1"/>
    <col min="15630" max="15630" width="3.09765625" style="107" customWidth="1"/>
    <col min="15631" max="15631" width="3.296875" style="107" bestFit="1" customWidth="1"/>
    <col min="15632" max="15632" width="5.296875" style="107" bestFit="1" customWidth="1"/>
    <col min="15633" max="15634" width="3.296875" style="107" customWidth="1"/>
    <col min="15635" max="15637" width="4.59765625" style="107" customWidth="1"/>
    <col min="15638" max="15639" width="3.796875" style="107" customWidth="1"/>
    <col min="15640" max="15640" width="4.296875" style="107" customWidth="1"/>
    <col min="15641" max="15642" width="3.796875" style="107" customWidth="1"/>
    <col min="15643" max="15644" width="4.59765625" style="107" customWidth="1"/>
    <col min="15645" max="15647" width="3.59765625" style="107" customWidth="1"/>
    <col min="15648" max="15648" width="5.09765625" style="107" customWidth="1"/>
    <col min="15649" max="15649" width="4" style="107" customWidth="1"/>
    <col min="15650" max="15650" width="4.69921875" style="107" customWidth="1"/>
    <col min="15651" max="15652" width="3.296875" style="107" customWidth="1"/>
    <col min="15653" max="15872" width="6.69921875" style="107"/>
    <col min="15873" max="15873" width="3.59765625" style="107" customWidth="1"/>
    <col min="15874" max="15876" width="5.296875" style="107" customWidth="1"/>
    <col min="15877" max="15882" width="4.09765625" style="107" customWidth="1"/>
    <col min="15883" max="15885" width="3.09765625" style="107" bestFit="1" customWidth="1"/>
    <col min="15886" max="15886" width="3.09765625" style="107" customWidth="1"/>
    <col min="15887" max="15887" width="3.296875" style="107" bestFit="1" customWidth="1"/>
    <col min="15888" max="15888" width="5.296875" style="107" bestFit="1" customWidth="1"/>
    <col min="15889" max="15890" width="3.296875" style="107" customWidth="1"/>
    <col min="15891" max="15893" width="4.59765625" style="107" customWidth="1"/>
    <col min="15894" max="15895" width="3.796875" style="107" customWidth="1"/>
    <col min="15896" max="15896" width="4.296875" style="107" customWidth="1"/>
    <col min="15897" max="15898" width="3.796875" style="107" customWidth="1"/>
    <col min="15899" max="15900" width="4.59765625" style="107" customWidth="1"/>
    <col min="15901" max="15903" width="3.59765625" style="107" customWidth="1"/>
    <col min="15904" max="15904" width="5.09765625" style="107" customWidth="1"/>
    <col min="15905" max="15905" width="4" style="107" customWidth="1"/>
    <col min="15906" max="15906" width="4.69921875" style="107" customWidth="1"/>
    <col min="15907" max="15908" width="3.296875" style="107" customWidth="1"/>
    <col min="15909" max="16128" width="6.69921875" style="107"/>
    <col min="16129" max="16129" width="3.59765625" style="107" customWidth="1"/>
    <col min="16130" max="16132" width="5.296875" style="107" customWidth="1"/>
    <col min="16133" max="16138" width="4.09765625" style="107" customWidth="1"/>
    <col min="16139" max="16141" width="3.09765625" style="107" bestFit="1" customWidth="1"/>
    <col min="16142" max="16142" width="3.09765625" style="107" customWidth="1"/>
    <col min="16143" max="16143" width="3.296875" style="107" bestFit="1" customWidth="1"/>
    <col min="16144" max="16144" width="5.296875" style="107" bestFit="1" customWidth="1"/>
    <col min="16145" max="16146" width="3.296875" style="107" customWidth="1"/>
    <col min="16147" max="16149" width="4.59765625" style="107" customWidth="1"/>
    <col min="16150" max="16151" width="3.796875" style="107" customWidth="1"/>
    <col min="16152" max="16152" width="4.296875" style="107" customWidth="1"/>
    <col min="16153" max="16154" width="3.796875" style="107" customWidth="1"/>
    <col min="16155" max="16156" width="4.59765625" style="107" customWidth="1"/>
    <col min="16157" max="16159" width="3.59765625" style="107" customWidth="1"/>
    <col min="16160" max="16160" width="5.09765625" style="107" customWidth="1"/>
    <col min="16161" max="16161" width="4" style="107" customWidth="1"/>
    <col min="16162" max="16162" width="4.69921875" style="107" customWidth="1"/>
    <col min="16163" max="16164" width="3.296875" style="107" customWidth="1"/>
    <col min="16165" max="16384" width="6.69921875" style="107"/>
  </cols>
  <sheetData>
    <row r="1" spans="1:36" s="45" customFormat="1" ht="1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115"/>
      <c r="R1" s="115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115"/>
      <c r="AJ1" s="115"/>
    </row>
    <row r="2" spans="1:36" s="45" customFormat="1" ht="15" customHeight="1" x14ac:dyDescent="0.25">
      <c r="A2" s="46" t="s">
        <v>97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15"/>
      <c r="R2" s="115"/>
      <c r="S2" s="44"/>
      <c r="T2" s="1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115"/>
      <c r="AJ2" s="115"/>
    </row>
    <row r="3" spans="1:36" s="47" customFormat="1" ht="8.4" customHeight="1" x14ac:dyDescent="0.25">
      <c r="A3" s="165" t="s">
        <v>0</v>
      </c>
      <c r="B3" s="167" t="s">
        <v>1</v>
      </c>
      <c r="C3" s="170" t="s">
        <v>2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2"/>
      <c r="S3" s="170" t="s">
        <v>93</v>
      </c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2"/>
    </row>
    <row r="4" spans="1:36" s="47" customFormat="1" ht="8.4" customHeight="1" x14ac:dyDescent="0.25">
      <c r="A4" s="152"/>
      <c r="B4" s="168"/>
      <c r="C4" s="173" t="s">
        <v>4</v>
      </c>
      <c r="D4" s="156"/>
      <c r="E4" s="162" t="s">
        <v>5</v>
      </c>
      <c r="F4" s="163"/>
      <c r="G4" s="164"/>
      <c r="H4" s="174" t="s">
        <v>6</v>
      </c>
      <c r="I4" s="164"/>
      <c r="J4" s="156" t="s">
        <v>7</v>
      </c>
      <c r="K4" s="153" t="s">
        <v>8</v>
      </c>
      <c r="L4" s="153" t="s">
        <v>9</v>
      </c>
      <c r="M4" s="153" t="s">
        <v>10</v>
      </c>
      <c r="N4" s="155" t="s">
        <v>11</v>
      </c>
      <c r="O4" s="153" t="s">
        <v>12</v>
      </c>
      <c r="P4" s="156" t="s">
        <v>13</v>
      </c>
      <c r="Q4" s="176" t="s">
        <v>14</v>
      </c>
      <c r="R4" s="178" t="s">
        <v>15</v>
      </c>
      <c r="S4" s="152" t="s">
        <v>4</v>
      </c>
      <c r="T4" s="156"/>
      <c r="U4" s="156"/>
      <c r="V4" s="162" t="s">
        <v>5</v>
      </c>
      <c r="W4" s="163"/>
      <c r="X4" s="164"/>
      <c r="Y4" s="162" t="s">
        <v>6</v>
      </c>
      <c r="Z4" s="163"/>
      <c r="AA4" s="164"/>
      <c r="AB4" s="156" t="s">
        <v>7</v>
      </c>
      <c r="AC4" s="153" t="s">
        <v>8</v>
      </c>
      <c r="AD4" s="153" t="s">
        <v>9</v>
      </c>
      <c r="AE4" s="153" t="s">
        <v>10</v>
      </c>
      <c r="AF4" s="155" t="s">
        <v>11</v>
      </c>
      <c r="AG4" s="153" t="s">
        <v>12</v>
      </c>
      <c r="AH4" s="156" t="s">
        <v>13</v>
      </c>
      <c r="AI4" s="176" t="s">
        <v>14</v>
      </c>
      <c r="AJ4" s="178" t="s">
        <v>15</v>
      </c>
    </row>
    <row r="5" spans="1:36" s="47" customFormat="1" ht="8.4" customHeight="1" x14ac:dyDescent="0.25">
      <c r="A5" s="166"/>
      <c r="B5" s="169"/>
      <c r="C5" s="48"/>
      <c r="D5" s="49" t="s">
        <v>94</v>
      </c>
      <c r="E5" s="50" t="s">
        <v>17</v>
      </c>
      <c r="F5" s="50" t="s">
        <v>18</v>
      </c>
      <c r="G5" s="51" t="s">
        <v>19</v>
      </c>
      <c r="H5" s="52"/>
      <c r="I5" s="53" t="s">
        <v>20</v>
      </c>
      <c r="J5" s="157"/>
      <c r="K5" s="154"/>
      <c r="L5" s="154"/>
      <c r="M5" s="154"/>
      <c r="N5" s="154"/>
      <c r="O5" s="154"/>
      <c r="P5" s="157"/>
      <c r="Q5" s="177"/>
      <c r="R5" s="179"/>
      <c r="S5" s="54" t="s">
        <v>21</v>
      </c>
      <c r="T5" s="51" t="s">
        <v>22</v>
      </c>
      <c r="U5" s="51" t="s">
        <v>19</v>
      </c>
      <c r="V5" s="50" t="s">
        <v>17</v>
      </c>
      <c r="W5" s="50" t="s">
        <v>18</v>
      </c>
      <c r="X5" s="51" t="s">
        <v>19</v>
      </c>
      <c r="Y5" s="51" t="s">
        <v>22</v>
      </c>
      <c r="Z5" s="51" t="s">
        <v>23</v>
      </c>
      <c r="AA5" s="51" t="s">
        <v>19</v>
      </c>
      <c r="AB5" s="157"/>
      <c r="AC5" s="154"/>
      <c r="AD5" s="154"/>
      <c r="AE5" s="154"/>
      <c r="AF5" s="154"/>
      <c r="AG5" s="154"/>
      <c r="AH5" s="157"/>
      <c r="AI5" s="177"/>
      <c r="AJ5" s="179"/>
    </row>
    <row r="6" spans="1:36" s="61" customFormat="1" ht="8.25" customHeight="1" x14ac:dyDescent="0.25">
      <c r="A6" s="151" t="s">
        <v>24</v>
      </c>
      <c r="B6" s="55" t="s">
        <v>25</v>
      </c>
      <c r="C6" s="2">
        <v>773234</v>
      </c>
      <c r="D6" s="2">
        <v>526892</v>
      </c>
      <c r="E6" s="2">
        <v>31212</v>
      </c>
      <c r="F6" s="2">
        <v>126</v>
      </c>
      <c r="G6" s="2">
        <v>31338</v>
      </c>
      <c r="H6" s="2">
        <v>15922</v>
      </c>
      <c r="I6" s="2">
        <v>1836</v>
      </c>
      <c r="J6" s="2">
        <v>16</v>
      </c>
      <c r="K6" s="2">
        <v>20</v>
      </c>
      <c r="L6" s="2" t="s">
        <v>26</v>
      </c>
      <c r="M6" s="2">
        <v>14</v>
      </c>
      <c r="N6" s="2">
        <v>5</v>
      </c>
      <c r="O6" s="2">
        <v>217</v>
      </c>
      <c r="P6" s="2">
        <v>820766</v>
      </c>
      <c r="Q6" s="116">
        <v>1.1781180928712576</v>
      </c>
      <c r="R6" s="116">
        <v>3.8820322239995111</v>
      </c>
      <c r="S6" s="56">
        <v>64108</v>
      </c>
      <c r="T6" s="56">
        <v>279616</v>
      </c>
      <c r="U6" s="56">
        <v>343724</v>
      </c>
      <c r="V6" s="56">
        <v>158625</v>
      </c>
      <c r="W6" s="56">
        <v>12192</v>
      </c>
      <c r="X6" s="56">
        <v>170817</v>
      </c>
      <c r="Y6" s="56">
        <v>46898</v>
      </c>
      <c r="Z6" s="56">
        <v>77181</v>
      </c>
      <c r="AA6" s="56">
        <v>124079</v>
      </c>
      <c r="AB6" s="56">
        <v>382</v>
      </c>
      <c r="AC6" s="56">
        <v>23154</v>
      </c>
      <c r="AD6" s="56" t="s">
        <v>26</v>
      </c>
      <c r="AE6" s="56">
        <v>38235</v>
      </c>
      <c r="AF6" s="56">
        <v>48308</v>
      </c>
      <c r="AG6" s="56">
        <v>72104</v>
      </c>
      <c r="AH6" s="56">
        <v>820803</v>
      </c>
      <c r="AI6" s="117">
        <v>-5.4020226467283257</v>
      </c>
      <c r="AJ6" s="117">
        <v>3.4781130119076771</v>
      </c>
    </row>
    <row r="7" spans="1:36" s="61" customFormat="1" ht="8.25" customHeight="1" x14ac:dyDescent="0.25">
      <c r="A7" s="152"/>
      <c r="B7" s="55" t="s">
        <v>27</v>
      </c>
      <c r="C7" s="2">
        <v>995276</v>
      </c>
      <c r="D7" s="2">
        <v>937452</v>
      </c>
      <c r="E7" s="2">
        <v>49667</v>
      </c>
      <c r="F7" s="2">
        <v>205</v>
      </c>
      <c r="G7" s="2">
        <v>49872</v>
      </c>
      <c r="H7" s="2">
        <v>11433</v>
      </c>
      <c r="I7" s="2">
        <v>1652</v>
      </c>
      <c r="J7" s="2">
        <v>2177</v>
      </c>
      <c r="K7" s="2">
        <v>18</v>
      </c>
      <c r="L7" s="2" t="s">
        <v>26</v>
      </c>
      <c r="M7" s="2">
        <v>9</v>
      </c>
      <c r="N7" s="2">
        <v>5</v>
      </c>
      <c r="O7" s="2">
        <v>162</v>
      </c>
      <c r="P7" s="2">
        <v>1058952</v>
      </c>
      <c r="Q7" s="116">
        <v>1.1630939541086591</v>
      </c>
      <c r="R7" s="116">
        <v>5.0085965886363839</v>
      </c>
      <c r="S7" s="56">
        <v>98215.693368499982</v>
      </c>
      <c r="T7" s="56">
        <v>508456.45136040001</v>
      </c>
      <c r="U7" s="56">
        <v>606672.14472889993</v>
      </c>
      <c r="V7" s="56">
        <v>172837.3619858</v>
      </c>
      <c r="W7" s="56">
        <v>11726.939876599998</v>
      </c>
      <c r="X7" s="56">
        <v>184564.3018624</v>
      </c>
      <c r="Y7" s="56">
        <v>39840.971880199999</v>
      </c>
      <c r="Z7" s="56">
        <v>81156.158977700004</v>
      </c>
      <c r="AA7" s="56">
        <v>120997.1308579</v>
      </c>
      <c r="AB7" s="56">
        <v>7542.5963126000006</v>
      </c>
      <c r="AC7" s="56">
        <v>3416.0384225999996</v>
      </c>
      <c r="AD7" s="56" t="s">
        <v>26</v>
      </c>
      <c r="AE7" s="56">
        <v>575.98</v>
      </c>
      <c r="AF7" s="56">
        <v>27604.75</v>
      </c>
      <c r="AG7" s="56">
        <v>38.278790999999998</v>
      </c>
      <c r="AH7" s="56">
        <v>951411.22097539995</v>
      </c>
      <c r="AI7" s="117">
        <v>-7.1788798330044994</v>
      </c>
      <c r="AJ7" s="117">
        <v>4.0315590310336447</v>
      </c>
    </row>
    <row r="8" spans="1:36" s="61" customFormat="1" ht="8.25" customHeight="1" x14ac:dyDescent="0.25">
      <c r="A8" s="152"/>
      <c r="B8" s="55" t="s">
        <v>28</v>
      </c>
      <c r="C8" s="2">
        <v>1723762</v>
      </c>
      <c r="D8" s="2">
        <v>1485477</v>
      </c>
      <c r="E8" s="2">
        <v>78999</v>
      </c>
      <c r="F8" s="2">
        <v>333</v>
      </c>
      <c r="G8" s="2">
        <v>79332</v>
      </c>
      <c r="H8" s="2">
        <v>41900</v>
      </c>
      <c r="I8" s="2">
        <v>2019</v>
      </c>
      <c r="J8" s="2">
        <v>63</v>
      </c>
      <c r="K8" s="2">
        <v>27</v>
      </c>
      <c r="L8" s="2" t="s">
        <v>26</v>
      </c>
      <c r="M8" s="2">
        <v>6</v>
      </c>
      <c r="N8" s="2">
        <v>9</v>
      </c>
      <c r="O8" s="2">
        <v>270</v>
      </c>
      <c r="P8" s="2">
        <v>1845369</v>
      </c>
      <c r="Q8" s="116">
        <v>0.85151941099187445</v>
      </c>
      <c r="R8" s="116">
        <v>8.728166034131231</v>
      </c>
      <c r="S8" s="56">
        <v>117586</v>
      </c>
      <c r="T8" s="56">
        <v>779380</v>
      </c>
      <c r="U8" s="56">
        <v>896966</v>
      </c>
      <c r="V8" s="56">
        <v>188121</v>
      </c>
      <c r="W8" s="56">
        <v>15391</v>
      </c>
      <c r="X8" s="56">
        <v>203512</v>
      </c>
      <c r="Y8" s="56">
        <v>48210</v>
      </c>
      <c r="Z8" s="56">
        <v>78255</v>
      </c>
      <c r="AA8" s="56">
        <v>126465</v>
      </c>
      <c r="AB8" s="56">
        <v>4524</v>
      </c>
      <c r="AC8" s="56">
        <v>2590</v>
      </c>
      <c r="AD8" s="56">
        <v>37208</v>
      </c>
      <c r="AE8" s="56">
        <v>37994</v>
      </c>
      <c r="AF8" s="56">
        <v>60977</v>
      </c>
      <c r="AG8" s="56">
        <v>10685</v>
      </c>
      <c r="AH8" s="56">
        <v>1380921</v>
      </c>
      <c r="AI8" s="117">
        <v>-10.034672184334584</v>
      </c>
      <c r="AJ8" s="117">
        <v>5.8515859451251533</v>
      </c>
    </row>
    <row r="9" spans="1:36" s="61" customFormat="1" ht="8.25" customHeight="1" x14ac:dyDescent="0.25">
      <c r="A9" s="152"/>
      <c r="B9" s="55" t="s">
        <v>29</v>
      </c>
      <c r="C9" s="2">
        <v>398269</v>
      </c>
      <c r="D9" s="2">
        <v>368502</v>
      </c>
      <c r="E9" s="2">
        <v>11278</v>
      </c>
      <c r="F9" s="2">
        <v>43</v>
      </c>
      <c r="G9" s="2">
        <v>11321</v>
      </c>
      <c r="H9" s="2">
        <v>5431</v>
      </c>
      <c r="I9" s="2">
        <v>364</v>
      </c>
      <c r="J9" s="2">
        <v>65</v>
      </c>
      <c r="K9" s="2">
        <v>5</v>
      </c>
      <c r="L9" s="2" t="s">
        <v>26</v>
      </c>
      <c r="M9" s="2">
        <v>5</v>
      </c>
      <c r="N9" s="2">
        <v>4</v>
      </c>
      <c r="O9" s="2">
        <v>20</v>
      </c>
      <c r="P9" s="2">
        <v>415120</v>
      </c>
      <c r="Q9" s="116">
        <v>0.97467119745666031</v>
      </c>
      <c r="R9" s="116">
        <v>1.9634210199090569</v>
      </c>
      <c r="S9" s="56">
        <v>38534</v>
      </c>
      <c r="T9" s="56">
        <v>179595</v>
      </c>
      <c r="U9" s="56">
        <v>218129</v>
      </c>
      <c r="V9" s="56">
        <v>30942</v>
      </c>
      <c r="W9" s="56">
        <v>1471</v>
      </c>
      <c r="X9" s="56">
        <v>32413</v>
      </c>
      <c r="Y9" s="56">
        <v>14479</v>
      </c>
      <c r="Z9" s="56">
        <v>10278</v>
      </c>
      <c r="AA9" s="56">
        <v>24757</v>
      </c>
      <c r="AB9" s="56">
        <v>1899</v>
      </c>
      <c r="AC9" s="56">
        <v>1017</v>
      </c>
      <c r="AD9" s="56" t="s">
        <v>26</v>
      </c>
      <c r="AE9" s="56">
        <v>2407</v>
      </c>
      <c r="AF9" s="56">
        <v>27068</v>
      </c>
      <c r="AG9" s="56">
        <v>460</v>
      </c>
      <c r="AH9" s="56">
        <v>308150</v>
      </c>
      <c r="AI9" s="117">
        <v>-9.6850774483799587</v>
      </c>
      <c r="AJ9" s="117">
        <v>1.3057707204034958</v>
      </c>
    </row>
    <row r="10" spans="1:36" s="61" customFormat="1" ht="8.25" customHeight="1" x14ac:dyDescent="0.25">
      <c r="A10" s="152"/>
      <c r="B10" s="55" t="s">
        <v>30</v>
      </c>
      <c r="C10" s="2">
        <v>553506</v>
      </c>
      <c r="D10" s="2">
        <v>446395</v>
      </c>
      <c r="E10" s="2">
        <v>14839</v>
      </c>
      <c r="F10" s="2">
        <v>94</v>
      </c>
      <c r="G10" s="2">
        <v>14933</v>
      </c>
      <c r="H10" s="2">
        <v>2988</v>
      </c>
      <c r="I10" s="2">
        <v>492</v>
      </c>
      <c r="J10" s="2">
        <v>85</v>
      </c>
      <c r="K10" s="2">
        <v>5</v>
      </c>
      <c r="L10" s="2">
        <v>1</v>
      </c>
      <c r="M10" s="2">
        <v>6</v>
      </c>
      <c r="N10" s="2">
        <v>8</v>
      </c>
      <c r="O10" s="2">
        <v>23</v>
      </c>
      <c r="P10" s="2">
        <v>571555</v>
      </c>
      <c r="Q10" s="116">
        <v>-1.4590926488488289</v>
      </c>
      <c r="R10" s="116">
        <v>2.7033221743932385</v>
      </c>
      <c r="S10" s="56">
        <v>62559.299960000004</v>
      </c>
      <c r="T10" s="56">
        <v>239724.80528999999</v>
      </c>
      <c r="U10" s="56">
        <v>302284.10525000002</v>
      </c>
      <c r="V10" s="56">
        <v>44333.407720000003</v>
      </c>
      <c r="W10" s="56">
        <v>4083.9163800000001</v>
      </c>
      <c r="X10" s="56">
        <v>48417.324100000005</v>
      </c>
      <c r="Y10" s="56">
        <v>11288.74202</v>
      </c>
      <c r="Z10" s="56">
        <v>12477.909870000001</v>
      </c>
      <c r="AA10" s="56">
        <v>23766.651890000001</v>
      </c>
      <c r="AB10" s="56">
        <v>1005.9283499999998</v>
      </c>
      <c r="AC10" s="56">
        <v>594.01499999999999</v>
      </c>
      <c r="AD10" s="56">
        <v>30485.781999999999</v>
      </c>
      <c r="AE10" s="56">
        <v>30286.315000000002</v>
      </c>
      <c r="AF10" s="56">
        <v>50818.188000000002</v>
      </c>
      <c r="AG10" s="56">
        <v>5.7089500000000006</v>
      </c>
      <c r="AH10" s="56">
        <v>487664.01854000008</v>
      </c>
      <c r="AI10" s="117">
        <v>-11.231208229860746</v>
      </c>
      <c r="AJ10" s="117">
        <v>2.066452691234268</v>
      </c>
    </row>
    <row r="11" spans="1:36" s="61" customFormat="1" ht="8.25" customHeight="1" x14ac:dyDescent="0.25">
      <c r="A11" s="152"/>
      <c r="B11" s="63" t="s">
        <v>31</v>
      </c>
      <c r="C11" s="2">
        <v>4444047</v>
      </c>
      <c r="D11" s="2">
        <v>3764718</v>
      </c>
      <c r="E11" s="2">
        <v>185995</v>
      </c>
      <c r="F11" s="2">
        <v>801</v>
      </c>
      <c r="G11" s="2">
        <v>186796</v>
      </c>
      <c r="H11" s="2">
        <v>77674</v>
      </c>
      <c r="I11" s="2">
        <v>6363</v>
      </c>
      <c r="J11" s="2">
        <v>2406</v>
      </c>
      <c r="K11" s="2">
        <v>75</v>
      </c>
      <c r="L11" s="2">
        <v>1</v>
      </c>
      <c r="M11" s="2">
        <v>40</v>
      </c>
      <c r="N11" s="2">
        <v>31</v>
      </c>
      <c r="O11" s="2">
        <v>692</v>
      </c>
      <c r="P11" s="2">
        <v>4711762</v>
      </c>
      <c r="Q11" s="116">
        <v>0.70223695501404715</v>
      </c>
      <c r="R11" s="116">
        <v>22.285538041069422</v>
      </c>
      <c r="S11" s="56">
        <v>381002.99332849996</v>
      </c>
      <c r="T11" s="56">
        <v>1986772.2566504001</v>
      </c>
      <c r="U11" s="56">
        <v>2367775.2499789</v>
      </c>
      <c r="V11" s="56">
        <v>594858.76970579999</v>
      </c>
      <c r="W11" s="56">
        <v>44864.856256599996</v>
      </c>
      <c r="X11" s="56">
        <v>639723.62596239999</v>
      </c>
      <c r="Y11" s="56">
        <v>160716.7139002</v>
      </c>
      <c r="Z11" s="56">
        <v>259348.06884769999</v>
      </c>
      <c r="AA11" s="56">
        <v>420064.7827479</v>
      </c>
      <c r="AB11" s="56">
        <v>15353.524662600001</v>
      </c>
      <c r="AC11" s="56">
        <v>30771.053422599998</v>
      </c>
      <c r="AD11" s="56">
        <v>67693.782000000007</v>
      </c>
      <c r="AE11" s="56">
        <v>109498.29500000001</v>
      </c>
      <c r="AF11" s="56">
        <v>214775.93799999999</v>
      </c>
      <c r="AG11" s="56">
        <v>83292.987741000004</v>
      </c>
      <c r="AH11" s="56">
        <v>3948949.2395154</v>
      </c>
      <c r="AI11" s="117">
        <v>-8.5505385797608184</v>
      </c>
      <c r="AJ11" s="117">
        <v>16.733481399704239</v>
      </c>
    </row>
    <row r="12" spans="1:36" s="61" customFormat="1" ht="8.25" customHeight="1" x14ac:dyDescent="0.25">
      <c r="A12" s="152" t="s">
        <v>32</v>
      </c>
      <c r="B12" s="68" t="s">
        <v>33</v>
      </c>
      <c r="C12" s="2">
        <v>423544</v>
      </c>
      <c r="D12" s="2">
        <v>325622</v>
      </c>
      <c r="E12" s="2">
        <v>12186</v>
      </c>
      <c r="F12" s="2">
        <v>174</v>
      </c>
      <c r="G12" s="2">
        <v>12360</v>
      </c>
      <c r="H12" s="2">
        <v>3174</v>
      </c>
      <c r="I12" s="2">
        <v>391</v>
      </c>
      <c r="J12" s="2">
        <v>492</v>
      </c>
      <c r="K12" s="2">
        <v>9</v>
      </c>
      <c r="L12" s="2">
        <v>1</v>
      </c>
      <c r="M12" s="2">
        <v>9</v>
      </c>
      <c r="N12" s="2">
        <v>3</v>
      </c>
      <c r="O12" s="2">
        <v>92</v>
      </c>
      <c r="P12" s="2">
        <v>439684</v>
      </c>
      <c r="Q12" s="116">
        <v>1.0052652374870206</v>
      </c>
      <c r="R12" s="116">
        <v>2.0796030249510835</v>
      </c>
      <c r="S12" s="56">
        <v>37148.734637000001</v>
      </c>
      <c r="T12" s="56">
        <v>168370.59655399996</v>
      </c>
      <c r="U12" s="56">
        <v>205519.33119099995</v>
      </c>
      <c r="V12" s="56">
        <v>43521.824675000003</v>
      </c>
      <c r="W12" s="56">
        <v>6412.3609209999986</v>
      </c>
      <c r="X12" s="56">
        <v>49934.185596000003</v>
      </c>
      <c r="Y12" s="56">
        <v>11379.759473</v>
      </c>
      <c r="Z12" s="56">
        <v>12590.156687999999</v>
      </c>
      <c r="AA12" s="56">
        <v>23969.916161000001</v>
      </c>
      <c r="AB12" s="56">
        <v>309589.74394399999</v>
      </c>
      <c r="AC12" s="56">
        <v>898.12532399999986</v>
      </c>
      <c r="AD12" s="56">
        <v>8605.1530000000002</v>
      </c>
      <c r="AE12" s="56">
        <v>4888.018309</v>
      </c>
      <c r="AF12" s="56">
        <v>28671.519169000007</v>
      </c>
      <c r="AG12" s="56">
        <v>75990.452820000006</v>
      </c>
      <c r="AH12" s="56">
        <v>708066.4455139999</v>
      </c>
      <c r="AI12" s="117">
        <v>-3.0027760546546358</v>
      </c>
      <c r="AJ12" s="117">
        <v>3.0003973151139327</v>
      </c>
    </row>
    <row r="13" spans="1:36" s="61" customFormat="1" ht="8.25" customHeight="1" x14ac:dyDescent="0.25">
      <c r="A13" s="152"/>
      <c r="B13" s="55" t="s">
        <v>34</v>
      </c>
      <c r="C13" s="2">
        <v>784072</v>
      </c>
      <c r="D13" s="2">
        <v>631624</v>
      </c>
      <c r="E13" s="2">
        <v>21262</v>
      </c>
      <c r="F13" s="2">
        <v>364</v>
      </c>
      <c r="G13" s="2">
        <v>21626</v>
      </c>
      <c r="H13" s="2">
        <v>9385</v>
      </c>
      <c r="I13" s="2">
        <v>658</v>
      </c>
      <c r="J13" s="2">
        <v>372</v>
      </c>
      <c r="K13" s="2">
        <v>1</v>
      </c>
      <c r="L13" s="2" t="s">
        <v>26</v>
      </c>
      <c r="M13" s="2" t="s">
        <v>26</v>
      </c>
      <c r="N13" s="2">
        <v>10</v>
      </c>
      <c r="O13" s="2">
        <v>26</v>
      </c>
      <c r="P13" s="2">
        <v>815492</v>
      </c>
      <c r="Q13" s="116">
        <v>2.5741264133167805</v>
      </c>
      <c r="R13" s="116">
        <v>3.8570874310263936</v>
      </c>
      <c r="S13" s="56">
        <v>83418</v>
      </c>
      <c r="T13" s="56">
        <v>323799</v>
      </c>
      <c r="U13" s="56">
        <v>407217</v>
      </c>
      <c r="V13" s="56">
        <v>70144</v>
      </c>
      <c r="W13" s="56">
        <v>14106</v>
      </c>
      <c r="X13" s="56">
        <v>84250</v>
      </c>
      <c r="Y13" s="56">
        <v>17124</v>
      </c>
      <c r="Z13" s="56">
        <v>21194</v>
      </c>
      <c r="AA13" s="56">
        <v>38318</v>
      </c>
      <c r="AB13" s="56">
        <v>155424</v>
      </c>
      <c r="AC13" s="56">
        <v>669</v>
      </c>
      <c r="AD13" s="56" t="s">
        <v>26</v>
      </c>
      <c r="AE13" s="56" t="s">
        <v>26</v>
      </c>
      <c r="AF13" s="56">
        <v>46378</v>
      </c>
      <c r="AG13" s="56">
        <v>136902</v>
      </c>
      <c r="AH13" s="56">
        <v>869158</v>
      </c>
      <c r="AI13" s="117">
        <v>6.8125148238405462</v>
      </c>
      <c r="AJ13" s="117">
        <v>3.6830149855734602</v>
      </c>
    </row>
    <row r="14" spans="1:36" s="61" customFormat="1" ht="8.25" customHeight="1" x14ac:dyDescent="0.25">
      <c r="A14" s="152"/>
      <c r="B14" s="63" t="s">
        <v>31</v>
      </c>
      <c r="C14" s="2">
        <v>1207616</v>
      </c>
      <c r="D14" s="2">
        <v>957246</v>
      </c>
      <c r="E14" s="2">
        <v>33448</v>
      </c>
      <c r="F14" s="2">
        <v>538</v>
      </c>
      <c r="G14" s="2">
        <v>33986</v>
      </c>
      <c r="H14" s="2">
        <v>12559</v>
      </c>
      <c r="I14" s="2">
        <v>1049</v>
      </c>
      <c r="J14" s="2">
        <v>864</v>
      </c>
      <c r="K14" s="2">
        <v>10</v>
      </c>
      <c r="L14" s="2">
        <v>1</v>
      </c>
      <c r="M14" s="2">
        <v>9</v>
      </c>
      <c r="N14" s="2">
        <v>13</v>
      </c>
      <c r="O14" s="2">
        <v>118</v>
      </c>
      <c r="P14" s="2">
        <v>1255176</v>
      </c>
      <c r="Q14" s="116">
        <v>2.0190435938179441</v>
      </c>
      <c r="R14" s="116">
        <v>5.9366904559774776</v>
      </c>
      <c r="S14" s="56">
        <v>120566.734637</v>
      </c>
      <c r="T14" s="56">
        <v>492169.59655399993</v>
      </c>
      <c r="U14" s="56">
        <v>612736.33119099995</v>
      </c>
      <c r="V14" s="56">
        <v>113665.82467500001</v>
      </c>
      <c r="W14" s="56">
        <v>20518.360921</v>
      </c>
      <c r="X14" s="56">
        <v>134184.185596</v>
      </c>
      <c r="Y14" s="56">
        <v>28503.759472999998</v>
      </c>
      <c r="Z14" s="56">
        <v>33784.156688000003</v>
      </c>
      <c r="AA14" s="56">
        <v>62287.916161000001</v>
      </c>
      <c r="AB14" s="56">
        <v>465013.74394399999</v>
      </c>
      <c r="AC14" s="56">
        <v>1567.1253239999999</v>
      </c>
      <c r="AD14" s="56">
        <v>8605.1530000000002</v>
      </c>
      <c r="AE14" s="56">
        <v>4888.018309</v>
      </c>
      <c r="AF14" s="56">
        <v>75049.519169000007</v>
      </c>
      <c r="AG14" s="56">
        <v>212892.45282000001</v>
      </c>
      <c r="AH14" s="56">
        <v>1577224.445514</v>
      </c>
      <c r="AI14" s="117">
        <v>2.1710788564230894</v>
      </c>
      <c r="AJ14" s="117">
        <v>6.6834123006873929</v>
      </c>
    </row>
    <row r="15" spans="1:36" s="61" customFormat="1" ht="8.25" customHeight="1" x14ac:dyDescent="0.25">
      <c r="A15" s="150" t="s">
        <v>35</v>
      </c>
      <c r="B15" s="68" t="s">
        <v>25</v>
      </c>
      <c r="C15" s="2">
        <v>739982</v>
      </c>
      <c r="D15" s="2">
        <v>518453</v>
      </c>
      <c r="E15" s="2">
        <v>23637</v>
      </c>
      <c r="F15" s="2">
        <v>251</v>
      </c>
      <c r="G15" s="2">
        <v>23888</v>
      </c>
      <c r="H15" s="2">
        <v>6386</v>
      </c>
      <c r="I15" s="2">
        <v>698</v>
      </c>
      <c r="J15" s="2">
        <v>442</v>
      </c>
      <c r="K15" s="2">
        <v>3</v>
      </c>
      <c r="L15" s="2" t="s">
        <v>26</v>
      </c>
      <c r="M15" s="2">
        <v>3</v>
      </c>
      <c r="N15" s="2">
        <v>9</v>
      </c>
      <c r="O15" s="2">
        <v>170</v>
      </c>
      <c r="P15" s="2">
        <v>770883</v>
      </c>
      <c r="Q15" s="116">
        <v>1.20452981982597</v>
      </c>
      <c r="R15" s="116">
        <v>3.646097239570615</v>
      </c>
      <c r="S15" s="56">
        <v>68905</v>
      </c>
      <c r="T15" s="56">
        <v>298961</v>
      </c>
      <c r="U15" s="56">
        <v>367866</v>
      </c>
      <c r="V15" s="56">
        <v>85786</v>
      </c>
      <c r="W15" s="56">
        <v>14305</v>
      </c>
      <c r="X15" s="56">
        <v>100091</v>
      </c>
      <c r="Y15" s="56">
        <v>18860</v>
      </c>
      <c r="Z15" s="56">
        <v>18504</v>
      </c>
      <c r="AA15" s="56">
        <v>37364</v>
      </c>
      <c r="AB15" s="56">
        <v>180951</v>
      </c>
      <c r="AC15" s="56">
        <v>2607</v>
      </c>
      <c r="AD15" s="56" t="s">
        <v>26</v>
      </c>
      <c r="AE15" s="56">
        <v>1617</v>
      </c>
      <c r="AF15" s="56">
        <v>45319</v>
      </c>
      <c r="AG15" s="56">
        <v>25714</v>
      </c>
      <c r="AH15" s="56">
        <v>761529</v>
      </c>
      <c r="AI15" s="117">
        <v>-4.8930446554799003</v>
      </c>
      <c r="AJ15" s="117">
        <v>3.22694230387199</v>
      </c>
    </row>
    <row r="16" spans="1:36" s="61" customFormat="1" ht="8.25" customHeight="1" x14ac:dyDescent="0.25">
      <c r="A16" s="142"/>
      <c r="B16" s="55" t="s">
        <v>27</v>
      </c>
      <c r="C16" s="2">
        <v>377502</v>
      </c>
      <c r="D16" s="2">
        <v>276209</v>
      </c>
      <c r="E16" s="2">
        <v>12221</v>
      </c>
      <c r="F16" s="2">
        <v>88</v>
      </c>
      <c r="G16" s="2">
        <v>12309</v>
      </c>
      <c r="H16" s="2">
        <v>1865</v>
      </c>
      <c r="I16" s="2">
        <v>239</v>
      </c>
      <c r="J16" s="2">
        <v>1366</v>
      </c>
      <c r="K16" s="2">
        <v>1</v>
      </c>
      <c r="L16" s="2" t="s">
        <v>26</v>
      </c>
      <c r="M16" s="2">
        <v>1</v>
      </c>
      <c r="N16" s="2">
        <v>5</v>
      </c>
      <c r="O16" s="2">
        <v>9</v>
      </c>
      <c r="P16" s="2">
        <v>393058</v>
      </c>
      <c r="Q16" s="116">
        <v>1.8614836410754776</v>
      </c>
      <c r="R16" s="116">
        <v>1.8590728927621269</v>
      </c>
      <c r="S16" s="56">
        <v>40739.495618699999</v>
      </c>
      <c r="T16" s="56">
        <v>204779.84494450002</v>
      </c>
      <c r="U16" s="56">
        <v>245519.34056320001</v>
      </c>
      <c r="V16" s="56">
        <v>34172.617248299997</v>
      </c>
      <c r="W16" s="56">
        <v>6158.6011336999991</v>
      </c>
      <c r="X16" s="56">
        <v>40331.218381999999</v>
      </c>
      <c r="Y16" s="56">
        <v>2857.7994452999997</v>
      </c>
      <c r="Z16" s="56">
        <v>5869.6421379000003</v>
      </c>
      <c r="AA16" s="56">
        <v>8727.4415831999995</v>
      </c>
      <c r="AB16" s="56">
        <v>10102.906752499999</v>
      </c>
      <c r="AC16" s="56" t="s">
        <v>26</v>
      </c>
      <c r="AD16" s="56" t="s">
        <v>26</v>
      </c>
      <c r="AE16" s="56">
        <v>9.8019999999999996</v>
      </c>
      <c r="AF16" s="56">
        <v>16302.155999999999</v>
      </c>
      <c r="AG16" s="56">
        <v>39.369035400000001</v>
      </c>
      <c r="AH16" s="56">
        <v>321032.23431630002</v>
      </c>
      <c r="AI16" s="117">
        <v>-6.5662331534491596</v>
      </c>
      <c r="AJ16" s="117">
        <v>1.3603585652310206</v>
      </c>
    </row>
    <row r="17" spans="1:36" s="61" customFormat="1" ht="8.25" customHeight="1" x14ac:dyDescent="0.25">
      <c r="A17" s="142"/>
      <c r="B17" s="55" t="s">
        <v>28</v>
      </c>
      <c r="C17" s="2">
        <v>765291</v>
      </c>
      <c r="D17" s="2">
        <v>362690</v>
      </c>
      <c r="E17" s="2">
        <v>31031</v>
      </c>
      <c r="F17" s="2">
        <v>479</v>
      </c>
      <c r="G17" s="2">
        <v>31510</v>
      </c>
      <c r="H17" s="2">
        <v>6518</v>
      </c>
      <c r="I17" s="2">
        <v>610</v>
      </c>
      <c r="J17" s="2">
        <v>444</v>
      </c>
      <c r="K17" s="2">
        <v>3</v>
      </c>
      <c r="L17" s="2" t="s">
        <v>26</v>
      </c>
      <c r="M17" s="2">
        <v>2</v>
      </c>
      <c r="N17" s="2">
        <v>11</v>
      </c>
      <c r="O17" s="2">
        <v>39</v>
      </c>
      <c r="P17" s="2">
        <v>803818</v>
      </c>
      <c r="Q17" s="116">
        <v>1.510243616603461</v>
      </c>
      <c r="R17" s="116">
        <v>3.8018721270506317</v>
      </c>
      <c r="S17" s="56">
        <v>46814</v>
      </c>
      <c r="T17" s="56">
        <v>211715</v>
      </c>
      <c r="U17" s="56">
        <v>258529</v>
      </c>
      <c r="V17" s="56">
        <v>68369</v>
      </c>
      <c r="W17" s="56">
        <v>14274</v>
      </c>
      <c r="X17" s="56">
        <v>82643</v>
      </c>
      <c r="Y17" s="56">
        <v>8427</v>
      </c>
      <c r="Z17" s="56">
        <v>15447</v>
      </c>
      <c r="AA17" s="56">
        <v>23874</v>
      </c>
      <c r="AB17" s="56">
        <v>63245</v>
      </c>
      <c r="AC17" s="56">
        <v>33979</v>
      </c>
      <c r="AD17" s="56" t="s">
        <v>26</v>
      </c>
      <c r="AE17" s="56">
        <v>4105</v>
      </c>
      <c r="AF17" s="56">
        <v>40336</v>
      </c>
      <c r="AG17" s="56">
        <v>10063</v>
      </c>
      <c r="AH17" s="56">
        <v>516774</v>
      </c>
      <c r="AI17" s="117">
        <v>-9.7897373680948938</v>
      </c>
      <c r="AJ17" s="117">
        <v>2.189804829679689</v>
      </c>
    </row>
    <row r="18" spans="1:36" s="61" customFormat="1" ht="8.25" customHeight="1" x14ac:dyDescent="0.25">
      <c r="A18" s="142"/>
      <c r="B18" s="55" t="s">
        <v>30</v>
      </c>
      <c r="C18" s="2">
        <v>382647</v>
      </c>
      <c r="D18" s="2">
        <v>328590</v>
      </c>
      <c r="E18" s="2">
        <v>11734</v>
      </c>
      <c r="F18" s="2">
        <v>84</v>
      </c>
      <c r="G18" s="2">
        <v>11818</v>
      </c>
      <c r="H18" s="2">
        <v>1982</v>
      </c>
      <c r="I18" s="2">
        <v>246</v>
      </c>
      <c r="J18" s="2">
        <v>653</v>
      </c>
      <c r="K18" s="2">
        <v>6</v>
      </c>
      <c r="L18" s="2">
        <v>2</v>
      </c>
      <c r="M18" s="2">
        <v>9</v>
      </c>
      <c r="N18" s="2">
        <v>5</v>
      </c>
      <c r="O18" s="2">
        <v>9</v>
      </c>
      <c r="P18" s="2">
        <v>397131</v>
      </c>
      <c r="Q18" s="116">
        <v>1.2157171584331776</v>
      </c>
      <c r="R18" s="116">
        <v>1.8783372351549039</v>
      </c>
      <c r="S18" s="56">
        <v>47513.643220000005</v>
      </c>
      <c r="T18" s="56">
        <v>176643.1856</v>
      </c>
      <c r="U18" s="56">
        <v>224156.82882</v>
      </c>
      <c r="V18" s="56">
        <v>35837.497049999998</v>
      </c>
      <c r="W18" s="56">
        <v>6123.9311200000002</v>
      </c>
      <c r="X18" s="56">
        <v>41961.428169999999</v>
      </c>
      <c r="Y18" s="56">
        <v>9835.7823799999987</v>
      </c>
      <c r="Z18" s="56">
        <v>5611.4310000000005</v>
      </c>
      <c r="AA18" s="56">
        <v>15447.213379999999</v>
      </c>
      <c r="AB18" s="56">
        <v>56018.291080000003</v>
      </c>
      <c r="AC18" s="56">
        <v>164.249</v>
      </c>
      <c r="AD18" s="56">
        <v>331.63300000000004</v>
      </c>
      <c r="AE18" s="56">
        <v>2047.3679999999999</v>
      </c>
      <c r="AF18" s="56">
        <v>20213.120999999999</v>
      </c>
      <c r="AG18" s="56">
        <v>17.852239999999998</v>
      </c>
      <c r="AH18" s="56">
        <v>360357.98468999995</v>
      </c>
      <c r="AI18" s="117">
        <v>-11.860245662297341</v>
      </c>
      <c r="AJ18" s="117">
        <v>1.5269995303320238</v>
      </c>
    </row>
    <row r="19" spans="1:36" s="61" customFormat="1" ht="8.25" customHeight="1" x14ac:dyDescent="0.25">
      <c r="A19" s="142"/>
      <c r="B19" s="55" t="s">
        <v>33</v>
      </c>
      <c r="C19" s="2">
        <v>2811024</v>
      </c>
      <c r="D19" s="2">
        <v>1970371</v>
      </c>
      <c r="E19" s="2">
        <v>78809</v>
      </c>
      <c r="F19" s="2">
        <v>1034</v>
      </c>
      <c r="G19" s="2">
        <v>79843</v>
      </c>
      <c r="H19" s="2">
        <v>24672</v>
      </c>
      <c r="I19" s="2">
        <v>2093</v>
      </c>
      <c r="J19" s="2">
        <v>1936</v>
      </c>
      <c r="K19" s="2">
        <v>26</v>
      </c>
      <c r="L19" s="2">
        <v>3</v>
      </c>
      <c r="M19" s="2">
        <v>37</v>
      </c>
      <c r="N19" s="2">
        <v>23</v>
      </c>
      <c r="O19" s="2">
        <v>1083</v>
      </c>
      <c r="P19" s="2">
        <v>2918647</v>
      </c>
      <c r="Q19" s="116">
        <v>0.27681672787991435</v>
      </c>
      <c r="R19" s="116">
        <v>13.804521269740096</v>
      </c>
      <c r="S19" s="56">
        <v>231019.53319400002</v>
      </c>
      <c r="T19" s="56">
        <v>1026727.100695</v>
      </c>
      <c r="U19" s="56">
        <v>1257746.6338889999</v>
      </c>
      <c r="V19" s="56">
        <v>246747.95036600003</v>
      </c>
      <c r="W19" s="56">
        <v>63897.733686000007</v>
      </c>
      <c r="X19" s="56">
        <v>310645.68405200006</v>
      </c>
      <c r="Y19" s="56">
        <v>122214.69377300002</v>
      </c>
      <c r="Z19" s="56">
        <v>86081.576093999989</v>
      </c>
      <c r="AA19" s="56">
        <v>208296.269867</v>
      </c>
      <c r="AB19" s="56">
        <v>1106435.6869819998</v>
      </c>
      <c r="AC19" s="56">
        <v>1002.7196429999999</v>
      </c>
      <c r="AD19" s="56">
        <v>6918.834245</v>
      </c>
      <c r="AE19" s="56">
        <v>40708.238681999996</v>
      </c>
      <c r="AF19" s="56">
        <v>143940.838521</v>
      </c>
      <c r="AG19" s="56">
        <v>211109.82011400003</v>
      </c>
      <c r="AH19" s="56">
        <v>3286804.725995</v>
      </c>
      <c r="AI19" s="117">
        <v>-5.606077612488658</v>
      </c>
      <c r="AJ19" s="117">
        <v>13.927676050261582</v>
      </c>
    </row>
    <row r="20" spans="1:36" s="61" customFormat="1" ht="8.25" customHeight="1" x14ac:dyDescent="0.25">
      <c r="A20" s="142"/>
      <c r="B20" s="55" t="s">
        <v>34</v>
      </c>
      <c r="C20" s="2">
        <v>11564</v>
      </c>
      <c r="D20" s="2">
        <v>6818</v>
      </c>
      <c r="E20" s="2">
        <v>668</v>
      </c>
      <c r="F20" s="2">
        <v>9</v>
      </c>
      <c r="G20" s="2">
        <v>677</v>
      </c>
      <c r="H20" s="2">
        <v>130</v>
      </c>
      <c r="I20" s="2">
        <v>11</v>
      </c>
      <c r="J20" s="2">
        <v>76</v>
      </c>
      <c r="K20" s="2" t="s">
        <v>26</v>
      </c>
      <c r="L20" s="2" t="s">
        <v>26</v>
      </c>
      <c r="M20" s="2">
        <v>1</v>
      </c>
      <c r="N20" s="2">
        <v>2</v>
      </c>
      <c r="O20" s="2" t="s">
        <v>26</v>
      </c>
      <c r="P20" s="2">
        <v>12450</v>
      </c>
      <c r="Q20" s="116">
        <v>-5.619330496909368E-2</v>
      </c>
      <c r="R20" s="116">
        <v>5.8885603434832727E-2</v>
      </c>
      <c r="S20" s="56">
        <v>962</v>
      </c>
      <c r="T20" s="56">
        <v>2860</v>
      </c>
      <c r="U20" s="56">
        <v>3822</v>
      </c>
      <c r="V20" s="56">
        <v>2123</v>
      </c>
      <c r="W20" s="56">
        <v>230</v>
      </c>
      <c r="X20" s="56">
        <v>2353</v>
      </c>
      <c r="Y20" s="56">
        <v>304</v>
      </c>
      <c r="Z20" s="56">
        <v>371</v>
      </c>
      <c r="AA20" s="56">
        <v>675</v>
      </c>
      <c r="AB20" s="56">
        <v>10594</v>
      </c>
      <c r="AC20" s="56" t="s">
        <v>26</v>
      </c>
      <c r="AD20" s="56" t="s">
        <v>26</v>
      </c>
      <c r="AE20" s="56">
        <v>1519</v>
      </c>
      <c r="AF20" s="56">
        <v>1998</v>
      </c>
      <c r="AG20" s="56" t="s">
        <v>26</v>
      </c>
      <c r="AH20" s="56">
        <v>20961</v>
      </c>
      <c r="AI20" s="117">
        <v>-10.716871832005793</v>
      </c>
      <c r="AJ20" s="117">
        <v>8.8821223658535384E-2</v>
      </c>
    </row>
    <row r="21" spans="1:36" s="61" customFormat="1" ht="8.25" customHeight="1" x14ac:dyDescent="0.25">
      <c r="A21" s="146"/>
      <c r="B21" s="55" t="s">
        <v>31</v>
      </c>
      <c r="C21" s="2">
        <v>5088010</v>
      </c>
      <c r="D21" s="2">
        <v>3463131</v>
      </c>
      <c r="E21" s="2">
        <v>158100</v>
      </c>
      <c r="F21" s="2">
        <v>1945</v>
      </c>
      <c r="G21" s="2">
        <v>160045</v>
      </c>
      <c r="H21" s="2">
        <v>41553</v>
      </c>
      <c r="I21" s="2">
        <v>3897</v>
      </c>
      <c r="J21" s="2">
        <v>4917</v>
      </c>
      <c r="K21" s="2">
        <v>39</v>
      </c>
      <c r="L21" s="2">
        <v>5</v>
      </c>
      <c r="M21" s="2">
        <v>53</v>
      </c>
      <c r="N21" s="2">
        <v>55</v>
      </c>
      <c r="O21" s="2">
        <v>1310</v>
      </c>
      <c r="P21" s="2">
        <v>5295987</v>
      </c>
      <c r="Q21" s="116">
        <v>0.78283871090516388</v>
      </c>
      <c r="R21" s="116">
        <v>25.048786367713209</v>
      </c>
      <c r="S21" s="56">
        <v>435953.67203270004</v>
      </c>
      <c r="T21" s="56">
        <v>1921686.1312394999</v>
      </c>
      <c r="U21" s="56">
        <v>2357639.8032721998</v>
      </c>
      <c r="V21" s="56">
        <v>473036.06466430007</v>
      </c>
      <c r="W21" s="56">
        <v>104989.26593970001</v>
      </c>
      <c r="X21" s="56">
        <v>578025.33060400002</v>
      </c>
      <c r="Y21" s="56">
        <v>162499.27559830001</v>
      </c>
      <c r="Z21" s="56">
        <v>131884.6492319</v>
      </c>
      <c r="AA21" s="56">
        <v>294383.92483020003</v>
      </c>
      <c r="AB21" s="56">
        <v>1427346.8848144999</v>
      </c>
      <c r="AC21" s="56">
        <v>37752.968643</v>
      </c>
      <c r="AD21" s="56">
        <v>7250.4672449999998</v>
      </c>
      <c r="AE21" s="56">
        <v>50006.408681999994</v>
      </c>
      <c r="AF21" s="56">
        <v>268109.115521</v>
      </c>
      <c r="AG21" s="56">
        <v>246944.04138940002</v>
      </c>
      <c r="AH21" s="56">
        <v>5267458.9450013004</v>
      </c>
      <c r="AI21" s="117">
        <v>-6.4642154306064095</v>
      </c>
      <c r="AJ21" s="117">
        <v>22.320602503034841</v>
      </c>
    </row>
    <row r="22" spans="1:36" s="61" customFormat="1" ht="8.25" customHeight="1" x14ac:dyDescent="0.25">
      <c r="A22" s="144" t="s">
        <v>36</v>
      </c>
      <c r="B22" s="145"/>
      <c r="C22" s="2">
        <v>10739673</v>
      </c>
      <c r="D22" s="2">
        <v>8185095</v>
      </c>
      <c r="E22" s="2">
        <v>377543</v>
      </c>
      <c r="F22" s="2">
        <v>3284</v>
      </c>
      <c r="G22" s="2">
        <v>380827</v>
      </c>
      <c r="H22" s="2">
        <v>131786</v>
      </c>
      <c r="I22" s="2">
        <v>11309</v>
      </c>
      <c r="J22" s="2">
        <v>8187</v>
      </c>
      <c r="K22" s="2">
        <v>124</v>
      </c>
      <c r="L22" s="2">
        <v>7</v>
      </c>
      <c r="M22" s="2">
        <v>102</v>
      </c>
      <c r="N22" s="2">
        <v>99</v>
      </c>
      <c r="O22" s="2">
        <v>2120</v>
      </c>
      <c r="P22" s="2">
        <v>11262925</v>
      </c>
      <c r="Q22" s="116">
        <v>0.88529383048685573</v>
      </c>
      <c r="R22" s="116">
        <v>53.271014864760105</v>
      </c>
      <c r="S22" s="56">
        <v>937523.39999820001</v>
      </c>
      <c r="T22" s="56">
        <v>4400627.9844439002</v>
      </c>
      <c r="U22" s="56">
        <v>5338151.3844421003</v>
      </c>
      <c r="V22" s="56">
        <v>1181560.6590451002</v>
      </c>
      <c r="W22" s="56">
        <v>170372.4831173</v>
      </c>
      <c r="X22" s="56">
        <v>1351933.1421624001</v>
      </c>
      <c r="Y22" s="56">
        <v>351719.74897150003</v>
      </c>
      <c r="Z22" s="56">
        <v>425016.87476759998</v>
      </c>
      <c r="AA22" s="56">
        <v>776736.62373910006</v>
      </c>
      <c r="AB22" s="56">
        <v>1907714.1534210998</v>
      </c>
      <c r="AC22" s="56">
        <v>70091.147389599995</v>
      </c>
      <c r="AD22" s="56">
        <v>83549.402245000019</v>
      </c>
      <c r="AE22" s="56">
        <v>164392.721991</v>
      </c>
      <c r="AF22" s="56">
        <v>557934.57269000006</v>
      </c>
      <c r="AG22" s="56">
        <v>543129.48195040005</v>
      </c>
      <c r="AH22" s="56">
        <v>10793632.630030699</v>
      </c>
      <c r="AI22" s="117">
        <v>-6.0882360749602054</v>
      </c>
      <c r="AJ22" s="117">
        <v>45.737496203426467</v>
      </c>
    </row>
    <row r="23" spans="1:36" s="61" customFormat="1" ht="8.25" customHeight="1" x14ac:dyDescent="0.25">
      <c r="A23" s="77" t="s">
        <v>37</v>
      </c>
      <c r="B23" s="63" t="s">
        <v>38</v>
      </c>
      <c r="C23" s="2">
        <v>1522927</v>
      </c>
      <c r="D23" s="2">
        <v>1390073</v>
      </c>
      <c r="E23" s="2">
        <v>66226</v>
      </c>
      <c r="F23" s="2">
        <v>1058</v>
      </c>
      <c r="G23" s="2">
        <v>67284</v>
      </c>
      <c r="H23" s="2">
        <v>5225</v>
      </c>
      <c r="I23" s="2">
        <v>2063</v>
      </c>
      <c r="J23" s="2">
        <v>748</v>
      </c>
      <c r="K23" s="2">
        <v>9</v>
      </c>
      <c r="L23" s="2">
        <v>1</v>
      </c>
      <c r="M23" s="2">
        <v>2</v>
      </c>
      <c r="N23" s="2">
        <v>15</v>
      </c>
      <c r="O23" s="2">
        <v>2</v>
      </c>
      <c r="P23" s="2">
        <v>1596213</v>
      </c>
      <c r="Q23" s="116">
        <v>1.015526216865823</v>
      </c>
      <c r="R23" s="116">
        <v>7.5497161217288875</v>
      </c>
      <c r="S23" s="56">
        <v>147778.20598909998</v>
      </c>
      <c r="T23" s="56">
        <v>500870.40542860003</v>
      </c>
      <c r="U23" s="56">
        <v>648648.61141770007</v>
      </c>
      <c r="V23" s="56">
        <v>124895.15844589999</v>
      </c>
      <c r="W23" s="56">
        <v>22811.059633299999</v>
      </c>
      <c r="X23" s="56">
        <v>147706.21807919999</v>
      </c>
      <c r="Y23" s="56">
        <v>13908.497441900001</v>
      </c>
      <c r="Z23" s="56">
        <v>35762.111156300001</v>
      </c>
      <c r="AA23" s="56">
        <v>49670.6085982</v>
      </c>
      <c r="AB23" s="56">
        <v>320549.80975910003</v>
      </c>
      <c r="AC23" s="56">
        <v>2111.9280033</v>
      </c>
      <c r="AD23" s="56">
        <v>180.81799999999998</v>
      </c>
      <c r="AE23" s="56">
        <v>13794.393</v>
      </c>
      <c r="AF23" s="56">
        <v>85356.371724100012</v>
      </c>
      <c r="AG23" s="56">
        <v>57111.642777599998</v>
      </c>
      <c r="AH23" s="56">
        <v>1325130.4013592002</v>
      </c>
      <c r="AI23" s="117">
        <v>-7.9488534994616336</v>
      </c>
      <c r="AJ23" s="117">
        <v>5.6151759818639508</v>
      </c>
    </row>
    <row r="24" spans="1:36" s="61" customFormat="1" ht="8.25" customHeight="1" x14ac:dyDescent="0.25">
      <c r="A24" s="79" t="s">
        <v>39</v>
      </c>
      <c r="B24" s="80" t="s">
        <v>40</v>
      </c>
      <c r="C24" s="2">
        <v>1054194</v>
      </c>
      <c r="D24" s="2">
        <v>922049</v>
      </c>
      <c r="E24" s="2">
        <v>19836</v>
      </c>
      <c r="F24" s="2">
        <v>966</v>
      </c>
      <c r="G24" s="2">
        <v>20802</v>
      </c>
      <c r="H24" s="2">
        <v>6873</v>
      </c>
      <c r="I24" s="2">
        <v>884</v>
      </c>
      <c r="J24" s="2">
        <v>1056</v>
      </c>
      <c r="K24" s="2">
        <v>16</v>
      </c>
      <c r="L24" s="2">
        <v>1</v>
      </c>
      <c r="M24" s="2">
        <v>31</v>
      </c>
      <c r="N24" s="2">
        <v>9</v>
      </c>
      <c r="O24" s="2">
        <v>52</v>
      </c>
      <c r="P24" s="2">
        <v>1083034</v>
      </c>
      <c r="Q24" s="116">
        <v>0.9216851808193316</v>
      </c>
      <c r="R24" s="116">
        <v>5.1224988458185239</v>
      </c>
      <c r="S24" s="56">
        <v>6469.6219482999986</v>
      </c>
      <c r="T24" s="56">
        <v>528952.08274930005</v>
      </c>
      <c r="U24" s="56">
        <v>535421.7046976001</v>
      </c>
      <c r="V24" s="56">
        <v>50497.5726565</v>
      </c>
      <c r="W24" s="56">
        <v>24036.1028716</v>
      </c>
      <c r="X24" s="56">
        <v>74533.675528099993</v>
      </c>
      <c r="Y24" s="56">
        <v>17425.250901799998</v>
      </c>
      <c r="Z24" s="56">
        <v>29454.634397299997</v>
      </c>
      <c r="AA24" s="56">
        <v>46879.885299099995</v>
      </c>
      <c r="AB24" s="56">
        <v>192726.5111297</v>
      </c>
      <c r="AC24" s="56">
        <v>4834.5680000000002</v>
      </c>
      <c r="AD24" s="56">
        <v>52.884</v>
      </c>
      <c r="AE24" s="56">
        <v>9597.5030000000006</v>
      </c>
      <c r="AF24" s="56">
        <v>58277.122639999994</v>
      </c>
      <c r="AG24" s="56">
        <v>2423.6390177000003</v>
      </c>
      <c r="AH24" s="56">
        <v>924747.49331219995</v>
      </c>
      <c r="AI24" s="117">
        <v>-4.7585644336271837</v>
      </c>
      <c r="AJ24" s="117">
        <v>3.9185727747317807</v>
      </c>
    </row>
    <row r="25" spans="1:36" s="61" customFormat="1" ht="8.25" customHeight="1" x14ac:dyDescent="0.25">
      <c r="A25" s="79" t="s">
        <v>41</v>
      </c>
      <c r="B25" s="80" t="s">
        <v>42</v>
      </c>
      <c r="C25" s="2">
        <v>665794</v>
      </c>
      <c r="D25" s="2">
        <v>626230</v>
      </c>
      <c r="E25" s="2">
        <v>17853</v>
      </c>
      <c r="F25" s="2">
        <v>146</v>
      </c>
      <c r="G25" s="2">
        <v>17999</v>
      </c>
      <c r="H25" s="2">
        <v>5854</v>
      </c>
      <c r="I25" s="2">
        <v>621</v>
      </c>
      <c r="J25" s="2">
        <v>690</v>
      </c>
      <c r="K25" s="2">
        <v>1</v>
      </c>
      <c r="L25" s="2" t="s">
        <v>26</v>
      </c>
      <c r="M25" s="2">
        <v>2</v>
      </c>
      <c r="N25" s="2">
        <v>7</v>
      </c>
      <c r="O25" s="2">
        <v>79</v>
      </c>
      <c r="P25" s="2">
        <v>690426</v>
      </c>
      <c r="Q25" s="116">
        <v>0.99809392293480281</v>
      </c>
      <c r="R25" s="116">
        <v>3.2655543483612708</v>
      </c>
      <c r="S25" s="56">
        <v>76441</v>
      </c>
      <c r="T25" s="56">
        <v>259639</v>
      </c>
      <c r="U25" s="56">
        <v>336080</v>
      </c>
      <c r="V25" s="56">
        <v>53780</v>
      </c>
      <c r="W25" s="56">
        <v>6022</v>
      </c>
      <c r="X25" s="56">
        <v>59802</v>
      </c>
      <c r="Y25" s="56">
        <v>11248</v>
      </c>
      <c r="Z25" s="56">
        <v>18532</v>
      </c>
      <c r="AA25" s="56">
        <v>29780</v>
      </c>
      <c r="AB25" s="56">
        <v>134267</v>
      </c>
      <c r="AC25" s="56">
        <v>1653</v>
      </c>
      <c r="AD25" s="56" t="s">
        <v>26</v>
      </c>
      <c r="AE25" s="56">
        <v>87</v>
      </c>
      <c r="AF25" s="56">
        <v>32480</v>
      </c>
      <c r="AG25" s="56">
        <v>14232</v>
      </c>
      <c r="AH25" s="56">
        <v>608381</v>
      </c>
      <c r="AI25" s="117">
        <v>-6.8913851945945108</v>
      </c>
      <c r="AJ25" s="117">
        <v>2.5779850613331146</v>
      </c>
    </row>
    <row r="26" spans="1:36" s="61" customFormat="1" ht="8.25" customHeight="1" x14ac:dyDescent="0.25">
      <c r="A26" s="79" t="s">
        <v>43</v>
      </c>
      <c r="B26" s="80" t="s">
        <v>44</v>
      </c>
      <c r="C26" s="2">
        <v>642523</v>
      </c>
      <c r="D26" s="2">
        <v>558439</v>
      </c>
      <c r="E26" s="2">
        <v>20232</v>
      </c>
      <c r="F26" s="2">
        <v>141</v>
      </c>
      <c r="G26" s="2">
        <v>20373</v>
      </c>
      <c r="H26" s="2">
        <v>5921</v>
      </c>
      <c r="I26" s="2">
        <v>1190</v>
      </c>
      <c r="J26" s="2">
        <v>178</v>
      </c>
      <c r="K26" s="2">
        <v>8</v>
      </c>
      <c r="L26" s="2">
        <v>2</v>
      </c>
      <c r="M26" s="2">
        <v>1</v>
      </c>
      <c r="N26" s="2">
        <v>5</v>
      </c>
      <c r="O26" s="2">
        <v>61</v>
      </c>
      <c r="P26" s="2">
        <v>669072</v>
      </c>
      <c r="Q26" s="116">
        <v>-5.258251870264586E-2</v>
      </c>
      <c r="R26" s="116">
        <v>3.1645548964940082</v>
      </c>
      <c r="S26" s="56">
        <v>50923</v>
      </c>
      <c r="T26" s="56">
        <v>292843</v>
      </c>
      <c r="U26" s="56">
        <v>343766</v>
      </c>
      <c r="V26" s="56">
        <v>65912</v>
      </c>
      <c r="W26" s="56">
        <v>6167</v>
      </c>
      <c r="X26" s="56">
        <v>72079</v>
      </c>
      <c r="Y26" s="56">
        <v>25838</v>
      </c>
      <c r="Z26" s="56">
        <v>40897</v>
      </c>
      <c r="AA26" s="56">
        <v>66735</v>
      </c>
      <c r="AB26" s="56">
        <v>79122</v>
      </c>
      <c r="AC26" s="56">
        <v>294</v>
      </c>
      <c r="AD26" s="56">
        <v>34258</v>
      </c>
      <c r="AE26" s="56">
        <v>920</v>
      </c>
      <c r="AF26" s="56">
        <v>31506</v>
      </c>
      <c r="AG26" s="56">
        <v>11937</v>
      </c>
      <c r="AH26" s="56">
        <v>640617</v>
      </c>
      <c r="AI26" s="117">
        <v>-10.67522633524514</v>
      </c>
      <c r="AJ26" s="117">
        <v>2.7145835521425488</v>
      </c>
    </row>
    <row r="27" spans="1:36" s="61" customFormat="1" ht="8.25" customHeight="1" x14ac:dyDescent="0.25">
      <c r="A27" s="79" t="s">
        <v>45</v>
      </c>
      <c r="B27" s="80" t="s">
        <v>46</v>
      </c>
      <c r="C27" s="2">
        <v>476965</v>
      </c>
      <c r="D27" s="2">
        <v>472363</v>
      </c>
      <c r="E27" s="2">
        <v>18476</v>
      </c>
      <c r="F27" s="2">
        <v>188</v>
      </c>
      <c r="G27" s="2">
        <v>18664</v>
      </c>
      <c r="H27" s="2">
        <v>3142</v>
      </c>
      <c r="I27" s="2">
        <v>370</v>
      </c>
      <c r="J27" s="2">
        <v>306</v>
      </c>
      <c r="K27" s="2">
        <v>2</v>
      </c>
      <c r="L27" s="2">
        <v>2</v>
      </c>
      <c r="M27" s="2" t="s">
        <v>26</v>
      </c>
      <c r="N27" s="2">
        <v>6</v>
      </c>
      <c r="O27" s="2">
        <v>12</v>
      </c>
      <c r="P27" s="2">
        <v>499099</v>
      </c>
      <c r="Q27" s="116">
        <v>1.213510033156566</v>
      </c>
      <c r="R27" s="116">
        <v>2.3606221517045443</v>
      </c>
      <c r="S27" s="56">
        <v>177.59328000000002</v>
      </c>
      <c r="T27" s="56">
        <v>273735.15979000001</v>
      </c>
      <c r="U27" s="56">
        <v>273912.75306999998</v>
      </c>
      <c r="V27" s="56">
        <v>48849.074470000007</v>
      </c>
      <c r="W27" s="56">
        <v>9813.4748800000016</v>
      </c>
      <c r="X27" s="56">
        <v>58662.549350000008</v>
      </c>
      <c r="Y27" s="56">
        <v>7987.2106400000002</v>
      </c>
      <c r="Z27" s="56">
        <v>10506.873419999998</v>
      </c>
      <c r="AA27" s="56">
        <v>18494.084059999997</v>
      </c>
      <c r="AB27" s="56">
        <v>1220412.30287</v>
      </c>
      <c r="AC27" s="56">
        <v>322.05399999999997</v>
      </c>
      <c r="AD27" s="56">
        <v>17364.415000000001</v>
      </c>
      <c r="AE27" s="56" t="s">
        <v>26</v>
      </c>
      <c r="AF27" s="56">
        <v>31217.594850000001</v>
      </c>
      <c r="AG27" s="56">
        <v>38099.55053</v>
      </c>
      <c r="AH27" s="56">
        <v>1658485.30373</v>
      </c>
      <c r="AI27" s="117">
        <v>-19.218731360582673</v>
      </c>
      <c r="AJ27" s="117">
        <v>7.0277512569532146</v>
      </c>
    </row>
    <row r="28" spans="1:36" s="61" customFormat="1" ht="8.25" customHeight="1" x14ac:dyDescent="0.25">
      <c r="A28" s="150" t="s">
        <v>47</v>
      </c>
      <c r="B28" s="68" t="s">
        <v>48</v>
      </c>
      <c r="C28" s="2">
        <v>2367</v>
      </c>
      <c r="D28" s="2">
        <v>2367</v>
      </c>
      <c r="E28" s="2">
        <v>89</v>
      </c>
      <c r="F28" s="2">
        <v>3</v>
      </c>
      <c r="G28" s="2">
        <v>92</v>
      </c>
      <c r="H28" s="2">
        <v>28</v>
      </c>
      <c r="I28" s="2">
        <v>8</v>
      </c>
      <c r="J28" s="2">
        <v>11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>
        <v>2498</v>
      </c>
      <c r="Q28" s="116">
        <v>0.52313883299798791</v>
      </c>
      <c r="R28" s="116">
        <v>1.1814958825719851E-2</v>
      </c>
      <c r="S28" s="56" t="s">
        <v>26</v>
      </c>
      <c r="T28" s="56">
        <v>1234.0900000000001</v>
      </c>
      <c r="U28" s="56">
        <v>1234.0900000000001</v>
      </c>
      <c r="V28" s="56">
        <v>282.33499999999998</v>
      </c>
      <c r="W28" s="56">
        <v>9.6659999999999986</v>
      </c>
      <c r="X28" s="56">
        <v>292.00099999999998</v>
      </c>
      <c r="Y28" s="56">
        <v>265.88</v>
      </c>
      <c r="Z28" s="56">
        <v>107.694</v>
      </c>
      <c r="AA28" s="56">
        <v>373.57400000000001</v>
      </c>
      <c r="AB28" s="56">
        <v>11490.151</v>
      </c>
      <c r="AC28" s="56" t="s">
        <v>26</v>
      </c>
      <c r="AD28" s="56" t="s">
        <v>26</v>
      </c>
      <c r="AE28" s="56" t="s">
        <v>26</v>
      </c>
      <c r="AF28" s="56" t="s">
        <v>26</v>
      </c>
      <c r="AG28" s="56" t="s">
        <v>26</v>
      </c>
      <c r="AH28" s="56">
        <v>13389.816000000001</v>
      </c>
      <c r="AI28" s="117">
        <v>-2.8469006465667244</v>
      </c>
      <c r="AJ28" s="117">
        <v>5.6738697661496862E-2</v>
      </c>
    </row>
    <row r="29" spans="1:36" s="61" customFormat="1" ht="8.25" customHeight="1" x14ac:dyDescent="0.25">
      <c r="A29" s="142"/>
      <c r="B29" s="55" t="s">
        <v>49</v>
      </c>
      <c r="C29" s="2">
        <v>110017</v>
      </c>
      <c r="D29" s="2">
        <v>35663</v>
      </c>
      <c r="E29" s="2">
        <v>3256</v>
      </c>
      <c r="F29" s="2">
        <v>461</v>
      </c>
      <c r="G29" s="2">
        <v>3717</v>
      </c>
      <c r="H29" s="2">
        <v>760</v>
      </c>
      <c r="I29" s="2">
        <v>396</v>
      </c>
      <c r="J29" s="2">
        <v>74</v>
      </c>
      <c r="K29" s="2" t="s">
        <v>26</v>
      </c>
      <c r="L29" s="2" t="s">
        <v>26</v>
      </c>
      <c r="M29" s="2">
        <v>1</v>
      </c>
      <c r="N29" s="2">
        <v>1</v>
      </c>
      <c r="O29" s="2">
        <v>14</v>
      </c>
      <c r="P29" s="2">
        <v>114584</v>
      </c>
      <c r="Q29" s="116">
        <v>-0.95857139152757731</v>
      </c>
      <c r="R29" s="116">
        <v>0.54195566136360418</v>
      </c>
      <c r="S29" s="56">
        <v>6952</v>
      </c>
      <c r="T29" s="56">
        <v>16392</v>
      </c>
      <c r="U29" s="56">
        <v>23344</v>
      </c>
      <c r="V29" s="56">
        <v>8083</v>
      </c>
      <c r="W29" s="56">
        <v>3257</v>
      </c>
      <c r="X29" s="56">
        <v>11340</v>
      </c>
      <c r="Y29" s="56">
        <v>1144</v>
      </c>
      <c r="Z29" s="56">
        <v>3604</v>
      </c>
      <c r="AA29" s="56">
        <v>4748</v>
      </c>
      <c r="AB29" s="56">
        <v>40340</v>
      </c>
      <c r="AC29" s="56" t="s">
        <v>26</v>
      </c>
      <c r="AD29" s="56" t="s">
        <v>26</v>
      </c>
      <c r="AE29" s="56">
        <v>3151</v>
      </c>
      <c r="AF29" s="56">
        <v>5927</v>
      </c>
      <c r="AG29" s="56">
        <v>18</v>
      </c>
      <c r="AH29" s="56">
        <v>88868</v>
      </c>
      <c r="AI29" s="117">
        <v>-7.0710028233817832</v>
      </c>
      <c r="AJ29" s="117">
        <v>0.3765738516333535</v>
      </c>
    </row>
    <row r="30" spans="1:36" s="61" customFormat="1" ht="8.25" customHeight="1" x14ac:dyDescent="0.25">
      <c r="A30" s="151"/>
      <c r="B30" s="63" t="s">
        <v>31</v>
      </c>
      <c r="C30" s="2">
        <v>112384</v>
      </c>
      <c r="D30" s="2">
        <v>38030</v>
      </c>
      <c r="E30" s="2">
        <v>3345</v>
      </c>
      <c r="F30" s="2">
        <v>464</v>
      </c>
      <c r="G30" s="2">
        <v>3809</v>
      </c>
      <c r="H30" s="2">
        <v>788</v>
      </c>
      <c r="I30" s="2">
        <v>404</v>
      </c>
      <c r="J30" s="2">
        <v>85</v>
      </c>
      <c r="K30" s="2" t="s">
        <v>26</v>
      </c>
      <c r="L30" s="2" t="s">
        <v>26</v>
      </c>
      <c r="M30" s="2">
        <v>1</v>
      </c>
      <c r="N30" s="2">
        <v>1</v>
      </c>
      <c r="O30" s="2">
        <v>14</v>
      </c>
      <c r="P30" s="2">
        <v>117082</v>
      </c>
      <c r="Q30" s="116">
        <v>-0.92741457800944349</v>
      </c>
      <c r="R30" s="116">
        <v>0.5537706201893241</v>
      </c>
      <c r="S30" s="56">
        <v>6952</v>
      </c>
      <c r="T30" s="56">
        <v>17626.09</v>
      </c>
      <c r="U30" s="56">
        <v>24578.09</v>
      </c>
      <c r="V30" s="56">
        <v>8365.3349999999991</v>
      </c>
      <c r="W30" s="56">
        <v>3266.6660000000002</v>
      </c>
      <c r="X30" s="56">
        <v>11632.001</v>
      </c>
      <c r="Y30" s="56">
        <v>1409.88</v>
      </c>
      <c r="Z30" s="56">
        <v>3711.694</v>
      </c>
      <c r="AA30" s="56">
        <v>5121.5739999999996</v>
      </c>
      <c r="AB30" s="56">
        <v>51830.150999999998</v>
      </c>
      <c r="AC30" s="56" t="s">
        <v>26</v>
      </c>
      <c r="AD30" s="56" t="s">
        <v>26</v>
      </c>
      <c r="AE30" s="56">
        <v>3151</v>
      </c>
      <c r="AF30" s="56">
        <v>5927</v>
      </c>
      <c r="AG30" s="56">
        <v>18</v>
      </c>
      <c r="AH30" s="56">
        <v>102257.81600000001</v>
      </c>
      <c r="AI30" s="117">
        <v>-6.5389108731869534</v>
      </c>
      <c r="AJ30" s="117">
        <v>0.43331254929485036</v>
      </c>
    </row>
    <row r="31" spans="1:36" s="61" customFormat="1" ht="8.25" customHeight="1" x14ac:dyDescent="0.25">
      <c r="A31" s="150" t="s">
        <v>50</v>
      </c>
      <c r="B31" s="68" t="s">
        <v>51</v>
      </c>
      <c r="C31" s="2">
        <v>148618</v>
      </c>
      <c r="D31" s="2">
        <v>138241</v>
      </c>
      <c r="E31" s="2">
        <v>5252</v>
      </c>
      <c r="F31" s="2">
        <v>36</v>
      </c>
      <c r="G31" s="2">
        <v>5288</v>
      </c>
      <c r="H31" s="2">
        <v>1663</v>
      </c>
      <c r="I31" s="2">
        <v>291</v>
      </c>
      <c r="J31" s="2">
        <v>100</v>
      </c>
      <c r="K31" s="2">
        <v>2</v>
      </c>
      <c r="L31" s="2" t="s">
        <v>26</v>
      </c>
      <c r="M31" s="2">
        <v>1</v>
      </c>
      <c r="N31" s="2">
        <v>2</v>
      </c>
      <c r="O31" s="2">
        <v>10</v>
      </c>
      <c r="P31" s="2">
        <v>155684</v>
      </c>
      <c r="Q31" s="116">
        <v>1.8581036874198529</v>
      </c>
      <c r="R31" s="116">
        <v>0.73634909920871461</v>
      </c>
      <c r="S31" s="56">
        <v>3680.2</v>
      </c>
      <c r="T31" s="56">
        <v>91525.500000000015</v>
      </c>
      <c r="U31" s="56">
        <v>95205.700000000012</v>
      </c>
      <c r="V31" s="56">
        <v>28099.7</v>
      </c>
      <c r="W31" s="56">
        <v>1633.4</v>
      </c>
      <c r="X31" s="56">
        <v>29733.100000000002</v>
      </c>
      <c r="Y31" s="56">
        <v>5517.5999999999995</v>
      </c>
      <c r="Z31" s="56">
        <v>5867.7000000000016</v>
      </c>
      <c r="AA31" s="56">
        <v>11385.300000000001</v>
      </c>
      <c r="AB31" s="56">
        <v>12724.1</v>
      </c>
      <c r="AC31" s="56">
        <v>616.29999999999995</v>
      </c>
      <c r="AD31" s="56" t="s">
        <v>26</v>
      </c>
      <c r="AE31" s="56">
        <v>98.5</v>
      </c>
      <c r="AF31" s="56">
        <v>3551.7000000000003</v>
      </c>
      <c r="AG31" s="56">
        <v>35437.599999999999</v>
      </c>
      <c r="AH31" s="56">
        <v>188752.30000000002</v>
      </c>
      <c r="AI31" s="117">
        <v>13.796419330023074</v>
      </c>
      <c r="AJ31" s="117">
        <v>0.79982874168040496</v>
      </c>
    </row>
    <row r="32" spans="1:36" s="61" customFormat="1" ht="8.25" customHeight="1" x14ac:dyDescent="0.25">
      <c r="A32" s="142"/>
      <c r="B32" s="85" t="s">
        <v>52</v>
      </c>
      <c r="C32" s="2">
        <v>163765</v>
      </c>
      <c r="D32" s="2">
        <v>162562</v>
      </c>
      <c r="E32" s="2">
        <v>3982</v>
      </c>
      <c r="F32" s="2">
        <v>16</v>
      </c>
      <c r="G32" s="2">
        <v>3998</v>
      </c>
      <c r="H32" s="2">
        <v>1209</v>
      </c>
      <c r="I32" s="2">
        <v>167</v>
      </c>
      <c r="J32" s="2">
        <v>193</v>
      </c>
      <c r="K32" s="2" t="s">
        <v>26</v>
      </c>
      <c r="L32" s="2" t="s">
        <v>26</v>
      </c>
      <c r="M32" s="2" t="s">
        <v>26</v>
      </c>
      <c r="N32" s="2">
        <v>2</v>
      </c>
      <c r="O32" s="2">
        <v>7</v>
      </c>
      <c r="P32" s="2">
        <v>169174</v>
      </c>
      <c r="Q32" s="116">
        <v>2.5800544509729018</v>
      </c>
      <c r="R32" s="116">
        <v>0.8001536606814772</v>
      </c>
      <c r="S32" s="56">
        <v>43.333289100000009</v>
      </c>
      <c r="T32" s="56">
        <v>104565.87655320001</v>
      </c>
      <c r="U32" s="56">
        <v>104609.20984230001</v>
      </c>
      <c r="V32" s="56">
        <v>11767.2239224</v>
      </c>
      <c r="W32" s="56">
        <v>1453.8265046000004</v>
      </c>
      <c r="X32" s="56">
        <v>13221.050427</v>
      </c>
      <c r="Y32" s="56">
        <v>4272.0818986000004</v>
      </c>
      <c r="Z32" s="56">
        <v>4611.2829732</v>
      </c>
      <c r="AA32" s="56">
        <v>8883.3648718000004</v>
      </c>
      <c r="AB32" s="56">
        <v>57379.561566299999</v>
      </c>
      <c r="AC32" s="56" t="s">
        <v>26</v>
      </c>
      <c r="AD32" s="56" t="s">
        <v>26</v>
      </c>
      <c r="AE32" s="56" t="s">
        <v>26</v>
      </c>
      <c r="AF32" s="56">
        <v>5800.4126282000007</v>
      </c>
      <c r="AG32" s="56">
        <v>32.846783899999998</v>
      </c>
      <c r="AH32" s="56">
        <v>189926.4461195</v>
      </c>
      <c r="AI32" s="117">
        <v>3.1962303467790616E-2</v>
      </c>
      <c r="AJ32" s="117">
        <v>0.80480412907069698</v>
      </c>
    </row>
    <row r="33" spans="1:36" s="61" customFormat="1" ht="8.25" customHeight="1" x14ac:dyDescent="0.25">
      <c r="A33" s="142"/>
      <c r="B33" s="85" t="s">
        <v>53</v>
      </c>
      <c r="C33" s="2">
        <v>78928</v>
      </c>
      <c r="D33" s="2">
        <v>75623</v>
      </c>
      <c r="E33" s="2">
        <v>1133</v>
      </c>
      <c r="F33" s="2">
        <v>26</v>
      </c>
      <c r="G33" s="2">
        <v>1159</v>
      </c>
      <c r="H33" s="2">
        <v>176</v>
      </c>
      <c r="I33" s="2">
        <v>77</v>
      </c>
      <c r="J33" s="2">
        <v>35</v>
      </c>
      <c r="K33" s="2" t="s">
        <v>26</v>
      </c>
      <c r="L33" s="2" t="s">
        <v>26</v>
      </c>
      <c r="M33" s="2" t="s">
        <v>26</v>
      </c>
      <c r="N33" s="2">
        <v>2</v>
      </c>
      <c r="O33" s="2">
        <v>7</v>
      </c>
      <c r="P33" s="2">
        <v>80307</v>
      </c>
      <c r="Q33" s="116">
        <v>3.814830135994622</v>
      </c>
      <c r="R33" s="116">
        <v>0.37983342610771981</v>
      </c>
      <c r="S33" s="56">
        <v>30</v>
      </c>
      <c r="T33" s="56">
        <v>41823</v>
      </c>
      <c r="U33" s="56">
        <v>41853</v>
      </c>
      <c r="V33" s="56">
        <v>4169</v>
      </c>
      <c r="W33" s="56">
        <v>2081</v>
      </c>
      <c r="X33" s="56">
        <v>6250</v>
      </c>
      <c r="Y33" s="56">
        <v>1133</v>
      </c>
      <c r="Z33" s="56">
        <v>5130</v>
      </c>
      <c r="AA33" s="56">
        <v>6263</v>
      </c>
      <c r="AB33" s="56">
        <v>5215</v>
      </c>
      <c r="AC33" s="56" t="s">
        <v>26</v>
      </c>
      <c r="AD33" s="56" t="s">
        <v>26</v>
      </c>
      <c r="AE33" s="56" t="s">
        <v>26</v>
      </c>
      <c r="AF33" s="56">
        <v>1132</v>
      </c>
      <c r="AG33" s="56">
        <v>39578</v>
      </c>
      <c r="AH33" s="56">
        <v>100291</v>
      </c>
      <c r="AI33" s="117">
        <v>11.987388396172127</v>
      </c>
      <c r="AJ33" s="117">
        <v>0.42497826162578944</v>
      </c>
    </row>
    <row r="34" spans="1:36" s="61" customFormat="1" ht="8.25" customHeight="1" x14ac:dyDescent="0.25">
      <c r="A34" s="142"/>
      <c r="B34" s="85" t="s">
        <v>54</v>
      </c>
      <c r="C34" s="2">
        <v>37875</v>
      </c>
      <c r="D34" s="2">
        <v>37439</v>
      </c>
      <c r="E34" s="2">
        <v>3479</v>
      </c>
      <c r="F34" s="2">
        <v>87</v>
      </c>
      <c r="G34" s="2">
        <v>3566</v>
      </c>
      <c r="H34" s="2">
        <v>231</v>
      </c>
      <c r="I34" s="2">
        <v>20</v>
      </c>
      <c r="J34" s="2" t="s">
        <v>26</v>
      </c>
      <c r="K34" s="2" t="s">
        <v>26</v>
      </c>
      <c r="L34" s="2" t="s">
        <v>26</v>
      </c>
      <c r="M34" s="2" t="s">
        <v>26</v>
      </c>
      <c r="N34" s="2">
        <v>1</v>
      </c>
      <c r="O34" s="2">
        <v>1</v>
      </c>
      <c r="P34" s="2">
        <v>41674</v>
      </c>
      <c r="Q34" s="116">
        <v>8.3539169548373682</v>
      </c>
      <c r="R34" s="116">
        <v>0.19710832430066016</v>
      </c>
      <c r="S34" s="56">
        <v>12</v>
      </c>
      <c r="T34" s="56">
        <v>18213</v>
      </c>
      <c r="U34" s="56">
        <v>18225</v>
      </c>
      <c r="V34" s="56">
        <v>3707</v>
      </c>
      <c r="W34" s="56">
        <v>8147</v>
      </c>
      <c r="X34" s="56">
        <v>11854</v>
      </c>
      <c r="Y34" s="56">
        <v>1092</v>
      </c>
      <c r="Z34" s="56">
        <v>638</v>
      </c>
      <c r="AA34" s="56">
        <v>1730</v>
      </c>
      <c r="AB34" s="56" t="s">
        <v>26</v>
      </c>
      <c r="AC34" s="56" t="s">
        <v>26</v>
      </c>
      <c r="AD34" s="56" t="s">
        <v>26</v>
      </c>
      <c r="AE34" s="56" t="s">
        <v>26</v>
      </c>
      <c r="AF34" s="56">
        <v>223</v>
      </c>
      <c r="AG34" s="56">
        <v>6</v>
      </c>
      <c r="AH34" s="56">
        <v>32038</v>
      </c>
      <c r="AI34" s="117">
        <v>-4.8611729769858947</v>
      </c>
      <c r="AJ34" s="117">
        <v>0.13575947538629629</v>
      </c>
    </row>
    <row r="35" spans="1:36" s="61" customFormat="1" ht="8.25" customHeight="1" x14ac:dyDescent="0.25">
      <c r="A35" s="136"/>
      <c r="B35" s="85" t="s">
        <v>55</v>
      </c>
      <c r="C35" s="2">
        <v>1887</v>
      </c>
      <c r="D35" s="2">
        <v>1885</v>
      </c>
      <c r="E35" s="2">
        <v>40</v>
      </c>
      <c r="F35" s="2" t="s">
        <v>26</v>
      </c>
      <c r="G35" s="2">
        <v>40</v>
      </c>
      <c r="H35" s="2">
        <v>10</v>
      </c>
      <c r="I35" s="2">
        <v>3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>
        <v>1</v>
      </c>
      <c r="P35" s="2">
        <v>1938</v>
      </c>
      <c r="Q35" s="116">
        <v>17.525773195876287</v>
      </c>
      <c r="R35" s="116">
        <v>9.1662891129884183E-3</v>
      </c>
      <c r="S35" s="56">
        <v>7.9000000000000001E-2</v>
      </c>
      <c r="T35" s="56">
        <v>1051.3369999999998</v>
      </c>
      <c r="U35" s="56">
        <v>1051.4159999999997</v>
      </c>
      <c r="V35" s="56">
        <v>9410.4660000000003</v>
      </c>
      <c r="W35" s="56" t="s">
        <v>26</v>
      </c>
      <c r="X35" s="56">
        <v>9410.4660000000003</v>
      </c>
      <c r="Y35" s="56">
        <v>192.99099999999999</v>
      </c>
      <c r="Z35" s="56">
        <v>64.47999999999999</v>
      </c>
      <c r="AA35" s="56">
        <v>257.471</v>
      </c>
      <c r="AB35" s="56" t="s">
        <v>26</v>
      </c>
      <c r="AC35" s="56" t="s">
        <v>26</v>
      </c>
      <c r="AD35" s="56" t="s">
        <v>26</v>
      </c>
      <c r="AE35" s="56" t="s">
        <v>26</v>
      </c>
      <c r="AF35" s="56" t="s">
        <v>26</v>
      </c>
      <c r="AG35" s="56">
        <v>201.65799999999996</v>
      </c>
      <c r="AH35" s="56">
        <v>10921.010999999999</v>
      </c>
      <c r="AI35" s="117">
        <v>-6.0341890313847895</v>
      </c>
      <c r="AJ35" s="117">
        <v>4.6277255885135489E-2</v>
      </c>
    </row>
    <row r="36" spans="1:36" s="61" customFormat="1" ht="8.25" customHeight="1" x14ac:dyDescent="0.25">
      <c r="A36" s="151"/>
      <c r="B36" s="63" t="s">
        <v>31</v>
      </c>
      <c r="C36" s="2">
        <v>431073</v>
      </c>
      <c r="D36" s="2">
        <v>415750</v>
      </c>
      <c r="E36" s="2">
        <v>13886</v>
      </c>
      <c r="F36" s="2">
        <v>165</v>
      </c>
      <c r="G36" s="2">
        <v>14051</v>
      </c>
      <c r="H36" s="2">
        <v>3289</v>
      </c>
      <c r="I36" s="2">
        <v>558</v>
      </c>
      <c r="J36" s="2">
        <v>328</v>
      </c>
      <c r="K36" s="2">
        <v>2</v>
      </c>
      <c r="L36" s="2" t="s">
        <v>26</v>
      </c>
      <c r="M36" s="2">
        <v>1</v>
      </c>
      <c r="N36" s="2">
        <v>7</v>
      </c>
      <c r="O36" s="2">
        <v>26</v>
      </c>
      <c r="P36" s="2">
        <v>448777</v>
      </c>
      <c r="Q36" s="116">
        <v>3.1128440430210302</v>
      </c>
      <c r="R36" s="116">
        <v>2.1226107994115604</v>
      </c>
      <c r="S36" s="56">
        <v>3765.6122891</v>
      </c>
      <c r="T36" s="56">
        <v>257178.71355320001</v>
      </c>
      <c r="U36" s="56">
        <v>260944.32584230002</v>
      </c>
      <c r="V36" s="56">
        <v>57153.389922400005</v>
      </c>
      <c r="W36" s="56">
        <v>13315.226504599999</v>
      </c>
      <c r="X36" s="56">
        <v>70468.616427000001</v>
      </c>
      <c r="Y36" s="56">
        <v>12207.6728986</v>
      </c>
      <c r="Z36" s="56">
        <v>16311.462973200001</v>
      </c>
      <c r="AA36" s="56">
        <v>28519.135871800001</v>
      </c>
      <c r="AB36" s="56">
        <v>75318.661566299998</v>
      </c>
      <c r="AC36" s="56">
        <v>616.29999999999995</v>
      </c>
      <c r="AD36" s="56" t="s">
        <v>26</v>
      </c>
      <c r="AE36" s="56">
        <v>98.5</v>
      </c>
      <c r="AF36" s="56">
        <v>10707.1126282</v>
      </c>
      <c r="AG36" s="56">
        <v>75256.104783899995</v>
      </c>
      <c r="AH36" s="56">
        <v>521928.75711950002</v>
      </c>
      <c r="AI36" s="117">
        <v>6.3886009586473769</v>
      </c>
      <c r="AJ36" s="117">
        <v>2.2116478636483232</v>
      </c>
    </row>
    <row r="37" spans="1:36" s="61" customFormat="1" ht="8.25" customHeight="1" x14ac:dyDescent="0.25">
      <c r="A37" s="150" t="s">
        <v>56</v>
      </c>
      <c r="B37" s="68" t="s">
        <v>48</v>
      </c>
      <c r="C37" s="2">
        <v>466266</v>
      </c>
      <c r="D37" s="2">
        <v>393202</v>
      </c>
      <c r="E37" s="2">
        <v>9531</v>
      </c>
      <c r="F37" s="2">
        <v>366</v>
      </c>
      <c r="G37" s="2">
        <v>9897</v>
      </c>
      <c r="H37" s="2">
        <v>6521</v>
      </c>
      <c r="I37" s="2">
        <v>589</v>
      </c>
      <c r="J37" s="2">
        <v>502</v>
      </c>
      <c r="K37" s="2">
        <v>2</v>
      </c>
      <c r="L37" s="2" t="s">
        <v>26</v>
      </c>
      <c r="M37" s="2">
        <v>4</v>
      </c>
      <c r="N37" s="2">
        <v>3</v>
      </c>
      <c r="O37" s="2">
        <v>33</v>
      </c>
      <c r="P37" s="2">
        <v>483228</v>
      </c>
      <c r="Q37" s="116">
        <v>2.2471054235222425</v>
      </c>
      <c r="R37" s="116">
        <v>2.2855560141853291</v>
      </c>
      <c r="S37" s="56">
        <v>4564.5420000000004</v>
      </c>
      <c r="T37" s="56">
        <v>226498.402</v>
      </c>
      <c r="U37" s="56">
        <v>231062.94399999999</v>
      </c>
      <c r="V37" s="56">
        <v>28824.190999999999</v>
      </c>
      <c r="W37" s="56">
        <v>6044.9130000000005</v>
      </c>
      <c r="X37" s="56">
        <v>34869.103999999999</v>
      </c>
      <c r="Y37" s="56">
        <v>11528.13</v>
      </c>
      <c r="Z37" s="56">
        <v>14138.626999999999</v>
      </c>
      <c r="AA37" s="56">
        <v>25666.756999999998</v>
      </c>
      <c r="AB37" s="56">
        <v>470897.50400000002</v>
      </c>
      <c r="AC37" s="56" t="s">
        <v>26</v>
      </c>
      <c r="AD37" s="56" t="s">
        <v>26</v>
      </c>
      <c r="AE37" s="56">
        <v>943.75800000000004</v>
      </c>
      <c r="AF37" s="56">
        <v>17391.087</v>
      </c>
      <c r="AG37" s="56">
        <v>56062.636999999988</v>
      </c>
      <c r="AH37" s="56">
        <v>836893.79100000008</v>
      </c>
      <c r="AI37" s="117">
        <v>-2.3718410490024455</v>
      </c>
      <c r="AJ37" s="117">
        <v>3.5462969604909391</v>
      </c>
    </row>
    <row r="38" spans="1:36" s="61" customFormat="1" ht="8.25" customHeight="1" x14ac:dyDescent="0.25">
      <c r="A38" s="142"/>
      <c r="B38" s="85" t="s">
        <v>57</v>
      </c>
      <c r="C38" s="2">
        <v>82521</v>
      </c>
      <c r="D38" s="2">
        <v>81099</v>
      </c>
      <c r="E38" s="2">
        <v>1599</v>
      </c>
      <c r="F38" s="2" t="s">
        <v>26</v>
      </c>
      <c r="G38" s="2">
        <v>1599</v>
      </c>
      <c r="H38" s="2">
        <v>459</v>
      </c>
      <c r="I38" s="2">
        <v>89</v>
      </c>
      <c r="J38" s="2">
        <v>223</v>
      </c>
      <c r="K38" s="2" t="s">
        <v>26</v>
      </c>
      <c r="L38" s="2" t="s">
        <v>26</v>
      </c>
      <c r="M38" s="2" t="s">
        <v>26</v>
      </c>
      <c r="N38" s="2" t="s">
        <v>26</v>
      </c>
      <c r="O38" s="2">
        <v>1</v>
      </c>
      <c r="P38" s="2">
        <v>84803</v>
      </c>
      <c r="Q38" s="116">
        <v>3.395596088663464</v>
      </c>
      <c r="R38" s="116">
        <v>0.40109846008707789</v>
      </c>
      <c r="S38" s="56">
        <v>15.4894452</v>
      </c>
      <c r="T38" s="56">
        <v>51007.653085229998</v>
      </c>
      <c r="U38" s="56">
        <v>51023.142530429999</v>
      </c>
      <c r="V38" s="56">
        <v>5548.2331656000006</v>
      </c>
      <c r="W38" s="56" t="s">
        <v>26</v>
      </c>
      <c r="X38" s="56">
        <v>5548.2331656000006</v>
      </c>
      <c r="Y38" s="56">
        <v>1246.4012929999999</v>
      </c>
      <c r="Z38" s="56">
        <v>1999.9234159999999</v>
      </c>
      <c r="AA38" s="56">
        <v>3246.3247089999995</v>
      </c>
      <c r="AB38" s="56">
        <v>90337.3797166</v>
      </c>
      <c r="AC38" s="56" t="s">
        <v>26</v>
      </c>
      <c r="AD38" s="56" t="s">
        <v>26</v>
      </c>
      <c r="AE38" s="56" t="s">
        <v>26</v>
      </c>
      <c r="AF38" s="56" t="s">
        <v>26</v>
      </c>
      <c r="AG38" s="56" t="s">
        <v>26</v>
      </c>
      <c r="AH38" s="56">
        <v>150155.08012162999</v>
      </c>
      <c r="AI38" s="117">
        <v>-2.8733438081526752</v>
      </c>
      <c r="AJ38" s="117">
        <v>0.63627488931580545</v>
      </c>
    </row>
    <row r="39" spans="1:36" s="61" customFormat="1" ht="8.25" customHeight="1" x14ac:dyDescent="0.25">
      <c r="A39" s="151"/>
      <c r="B39" s="63" t="s">
        <v>31</v>
      </c>
      <c r="C39" s="2">
        <v>548787</v>
      </c>
      <c r="D39" s="2">
        <v>474301</v>
      </c>
      <c r="E39" s="2">
        <v>11130</v>
      </c>
      <c r="F39" s="2">
        <v>366</v>
      </c>
      <c r="G39" s="2">
        <v>11496</v>
      </c>
      <c r="H39" s="2">
        <v>6980</v>
      </c>
      <c r="I39" s="2">
        <v>678</v>
      </c>
      <c r="J39" s="2">
        <v>725</v>
      </c>
      <c r="K39" s="2">
        <v>2</v>
      </c>
      <c r="L39" s="2" t="s">
        <v>26</v>
      </c>
      <c r="M39" s="2">
        <v>4</v>
      </c>
      <c r="N39" s="2">
        <v>3</v>
      </c>
      <c r="O39" s="2">
        <v>34</v>
      </c>
      <c r="P39" s="2">
        <v>568031</v>
      </c>
      <c r="Q39" s="116">
        <v>2.4169440307522545</v>
      </c>
      <c r="R39" s="116">
        <v>2.686654474272407</v>
      </c>
      <c r="S39" s="56">
        <v>4580.0314452000002</v>
      </c>
      <c r="T39" s="56">
        <v>277506.05508522998</v>
      </c>
      <c r="U39" s="56">
        <v>282086.08653043001</v>
      </c>
      <c r="V39" s="56">
        <v>34372.424165600001</v>
      </c>
      <c r="W39" s="56">
        <v>6044.9130000000005</v>
      </c>
      <c r="X39" s="56">
        <v>40417.337165600002</v>
      </c>
      <c r="Y39" s="56">
        <v>12774.531293</v>
      </c>
      <c r="Z39" s="56">
        <v>16138.550415999998</v>
      </c>
      <c r="AA39" s="56">
        <v>28913.081708999998</v>
      </c>
      <c r="AB39" s="56">
        <v>561234.88371660002</v>
      </c>
      <c r="AC39" s="56" t="s">
        <v>26</v>
      </c>
      <c r="AD39" s="56" t="s">
        <v>26</v>
      </c>
      <c r="AE39" s="56">
        <v>943.75800000000004</v>
      </c>
      <c r="AF39" s="56">
        <v>17391.087</v>
      </c>
      <c r="AG39" s="56">
        <v>56062.636999999988</v>
      </c>
      <c r="AH39" s="56">
        <v>987048.87112163007</v>
      </c>
      <c r="AI39" s="117">
        <v>-2.4484660275953729</v>
      </c>
      <c r="AJ39" s="117">
        <v>4.1825718498067443</v>
      </c>
    </row>
    <row r="40" spans="1:36" s="61" customFormat="1" ht="8.25" customHeight="1" x14ac:dyDescent="0.25">
      <c r="A40" s="150" t="s">
        <v>58</v>
      </c>
      <c r="B40" s="68" t="s">
        <v>44</v>
      </c>
      <c r="C40" s="2">
        <v>19920</v>
      </c>
      <c r="D40" s="2">
        <v>19870</v>
      </c>
      <c r="E40" s="2">
        <v>541</v>
      </c>
      <c r="F40" s="2">
        <v>8</v>
      </c>
      <c r="G40" s="2">
        <v>549</v>
      </c>
      <c r="H40" s="2">
        <v>337</v>
      </c>
      <c r="I40" s="2">
        <v>40</v>
      </c>
      <c r="J40" s="2">
        <v>4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>
        <v>20810</v>
      </c>
      <c r="Q40" s="116">
        <v>15.926689320929196</v>
      </c>
      <c r="R40" s="116">
        <v>9.8426458432037664E-2</v>
      </c>
      <c r="S40" s="56">
        <v>1516</v>
      </c>
      <c r="T40" s="56">
        <v>10920</v>
      </c>
      <c r="U40" s="56">
        <v>12436</v>
      </c>
      <c r="V40" s="56">
        <v>2643</v>
      </c>
      <c r="W40" s="56">
        <v>70</v>
      </c>
      <c r="X40" s="56">
        <v>2713</v>
      </c>
      <c r="Y40" s="56">
        <v>3965</v>
      </c>
      <c r="Z40" s="56">
        <v>537</v>
      </c>
      <c r="AA40" s="56">
        <v>4502</v>
      </c>
      <c r="AB40" s="56">
        <v>1538</v>
      </c>
      <c r="AC40" s="56" t="s">
        <v>26</v>
      </c>
      <c r="AD40" s="56" t="s">
        <v>26</v>
      </c>
      <c r="AE40" s="56" t="s">
        <v>26</v>
      </c>
      <c r="AF40" s="56" t="s">
        <v>26</v>
      </c>
      <c r="AG40" s="56" t="s">
        <v>26</v>
      </c>
      <c r="AH40" s="56">
        <v>21189</v>
      </c>
      <c r="AI40" s="117">
        <v>-4.3299620733249045</v>
      </c>
      <c r="AJ40" s="117">
        <v>8.9787362630633374E-2</v>
      </c>
    </row>
    <row r="41" spans="1:36" s="61" customFormat="1" ht="8.25" customHeight="1" x14ac:dyDescent="0.25">
      <c r="A41" s="142"/>
      <c r="B41" s="55" t="s">
        <v>49</v>
      </c>
      <c r="C41" s="2">
        <v>551679</v>
      </c>
      <c r="D41" s="2">
        <v>518221</v>
      </c>
      <c r="E41" s="2">
        <v>8361</v>
      </c>
      <c r="F41" s="2">
        <v>3267</v>
      </c>
      <c r="G41" s="2">
        <v>11628</v>
      </c>
      <c r="H41" s="2">
        <v>4315</v>
      </c>
      <c r="I41" s="2">
        <v>452</v>
      </c>
      <c r="J41" s="2">
        <v>475</v>
      </c>
      <c r="K41" s="2">
        <v>3</v>
      </c>
      <c r="L41" s="2" t="s">
        <v>26</v>
      </c>
      <c r="M41" s="2">
        <v>6</v>
      </c>
      <c r="N41" s="2">
        <v>2</v>
      </c>
      <c r="O41" s="2">
        <v>97</v>
      </c>
      <c r="P41" s="2">
        <v>568205</v>
      </c>
      <c r="Q41" s="116">
        <v>3.1888000639249174</v>
      </c>
      <c r="R41" s="116">
        <v>2.6874774537902915</v>
      </c>
      <c r="S41" s="56">
        <v>62007</v>
      </c>
      <c r="T41" s="56">
        <v>241601</v>
      </c>
      <c r="U41" s="56">
        <v>303608</v>
      </c>
      <c r="V41" s="56">
        <v>21649</v>
      </c>
      <c r="W41" s="56">
        <v>23738</v>
      </c>
      <c r="X41" s="56">
        <v>45387</v>
      </c>
      <c r="Y41" s="56">
        <v>12995</v>
      </c>
      <c r="Z41" s="56">
        <v>13631</v>
      </c>
      <c r="AA41" s="56">
        <v>26626</v>
      </c>
      <c r="AB41" s="56">
        <v>447495</v>
      </c>
      <c r="AC41" s="56">
        <v>7814</v>
      </c>
      <c r="AD41" s="56" t="s">
        <v>26</v>
      </c>
      <c r="AE41" s="56">
        <v>3314</v>
      </c>
      <c r="AF41" s="56">
        <v>10833</v>
      </c>
      <c r="AG41" s="56">
        <v>9402</v>
      </c>
      <c r="AH41" s="56">
        <v>854479</v>
      </c>
      <c r="AI41" s="117">
        <v>-6.0655962974974029</v>
      </c>
      <c r="AJ41" s="117">
        <v>3.6208134330672035</v>
      </c>
    </row>
    <row r="42" spans="1:36" s="61" customFormat="1" ht="8.25" customHeight="1" x14ac:dyDescent="0.25">
      <c r="A42" s="142"/>
      <c r="B42" s="55" t="s">
        <v>59</v>
      </c>
      <c r="C42" s="2">
        <v>197067</v>
      </c>
      <c r="D42" s="2">
        <v>183659</v>
      </c>
      <c r="E42" s="2">
        <v>4003</v>
      </c>
      <c r="F42" s="2" t="s">
        <v>26</v>
      </c>
      <c r="G42" s="2">
        <v>4003</v>
      </c>
      <c r="H42" s="2">
        <v>1303</v>
      </c>
      <c r="I42" s="2">
        <v>122</v>
      </c>
      <c r="J42" s="2">
        <v>220</v>
      </c>
      <c r="K42" s="2" t="s">
        <v>26</v>
      </c>
      <c r="L42" s="2" t="s">
        <v>26</v>
      </c>
      <c r="M42" s="2">
        <v>1</v>
      </c>
      <c r="N42" s="2" t="s">
        <v>26</v>
      </c>
      <c r="O42" s="2">
        <v>7</v>
      </c>
      <c r="P42" s="2">
        <v>202601</v>
      </c>
      <c r="Q42" s="116">
        <v>3.5903650187392304</v>
      </c>
      <c r="R42" s="116">
        <v>0.95825559369482283</v>
      </c>
      <c r="S42" s="56">
        <v>18988</v>
      </c>
      <c r="T42" s="56">
        <v>77002</v>
      </c>
      <c r="U42" s="56">
        <v>95990</v>
      </c>
      <c r="V42" s="56">
        <v>11979</v>
      </c>
      <c r="W42" s="56" t="s">
        <v>26</v>
      </c>
      <c r="X42" s="56">
        <v>11979</v>
      </c>
      <c r="Y42" s="56">
        <v>2104</v>
      </c>
      <c r="Z42" s="56">
        <v>1699</v>
      </c>
      <c r="AA42" s="56">
        <v>3803</v>
      </c>
      <c r="AB42" s="56">
        <v>509652</v>
      </c>
      <c r="AC42" s="56" t="s">
        <v>26</v>
      </c>
      <c r="AD42" s="56" t="s">
        <v>26</v>
      </c>
      <c r="AE42" s="56">
        <v>8434</v>
      </c>
      <c r="AF42" s="56" t="s">
        <v>26</v>
      </c>
      <c r="AG42" s="56">
        <v>6167</v>
      </c>
      <c r="AH42" s="56">
        <v>636025</v>
      </c>
      <c r="AI42" s="117">
        <v>-0.6373954273127066</v>
      </c>
      <c r="AJ42" s="117">
        <v>2.6951251742483642</v>
      </c>
    </row>
    <row r="43" spans="1:36" s="61" customFormat="1" ht="8.25" customHeight="1" x14ac:dyDescent="0.25">
      <c r="A43" s="151"/>
      <c r="B43" s="63" t="s">
        <v>31</v>
      </c>
      <c r="C43" s="2">
        <v>768666</v>
      </c>
      <c r="D43" s="2">
        <v>721750</v>
      </c>
      <c r="E43" s="2">
        <v>12905</v>
      </c>
      <c r="F43" s="2">
        <v>3275</v>
      </c>
      <c r="G43" s="2">
        <v>16180</v>
      </c>
      <c r="H43" s="2">
        <v>5955</v>
      </c>
      <c r="I43" s="2">
        <v>614</v>
      </c>
      <c r="J43" s="2">
        <v>699</v>
      </c>
      <c r="K43" s="2">
        <v>3</v>
      </c>
      <c r="L43" s="2" t="s">
        <v>26</v>
      </c>
      <c r="M43" s="2">
        <v>7</v>
      </c>
      <c r="N43" s="2">
        <v>2</v>
      </c>
      <c r="O43" s="2">
        <v>104</v>
      </c>
      <c r="P43" s="2">
        <v>791616</v>
      </c>
      <c r="Q43" s="116">
        <v>3.5907958376080904</v>
      </c>
      <c r="R43" s="116">
        <v>3.7441595059171515</v>
      </c>
      <c r="S43" s="56">
        <v>82511</v>
      </c>
      <c r="T43" s="56">
        <v>329523</v>
      </c>
      <c r="U43" s="56">
        <v>412034</v>
      </c>
      <c r="V43" s="56">
        <v>36271</v>
      </c>
      <c r="W43" s="56">
        <v>23808</v>
      </c>
      <c r="X43" s="56">
        <v>60079</v>
      </c>
      <c r="Y43" s="56">
        <v>19064</v>
      </c>
      <c r="Z43" s="56">
        <v>15867</v>
      </c>
      <c r="AA43" s="56">
        <v>34931</v>
      </c>
      <c r="AB43" s="56">
        <v>958685</v>
      </c>
      <c r="AC43" s="56">
        <v>7814</v>
      </c>
      <c r="AD43" s="56" t="s">
        <v>26</v>
      </c>
      <c r="AE43" s="56">
        <v>11748</v>
      </c>
      <c r="AF43" s="56">
        <v>10833</v>
      </c>
      <c r="AG43" s="56">
        <v>15569</v>
      </c>
      <c r="AH43" s="56">
        <v>1511693</v>
      </c>
      <c r="AI43" s="117">
        <v>-3.8306949261661623</v>
      </c>
      <c r="AJ43" s="117">
        <v>6.405725969946201</v>
      </c>
    </row>
    <row r="44" spans="1:36" s="61" customFormat="1" ht="8.25" customHeight="1" x14ac:dyDescent="0.25">
      <c r="A44" s="150" t="s">
        <v>60</v>
      </c>
      <c r="B44" s="68" t="s">
        <v>61</v>
      </c>
      <c r="C44" s="2">
        <v>383165</v>
      </c>
      <c r="D44" s="2">
        <v>370616</v>
      </c>
      <c r="E44" s="2">
        <v>10103</v>
      </c>
      <c r="F44" s="2" t="s">
        <v>26</v>
      </c>
      <c r="G44" s="2">
        <v>10103</v>
      </c>
      <c r="H44" s="2">
        <v>3140</v>
      </c>
      <c r="I44" s="2">
        <v>375</v>
      </c>
      <c r="J44" s="2">
        <v>441</v>
      </c>
      <c r="K44" s="2">
        <v>5</v>
      </c>
      <c r="L44" s="2" t="s">
        <v>26</v>
      </c>
      <c r="M44" s="2">
        <v>1</v>
      </c>
      <c r="N44" s="2">
        <v>5</v>
      </c>
      <c r="O44" s="2">
        <v>5</v>
      </c>
      <c r="P44" s="2">
        <v>396865</v>
      </c>
      <c r="Q44" s="116">
        <v>1.2457204667561266</v>
      </c>
      <c r="R44" s="116">
        <v>1.8770791170413563</v>
      </c>
      <c r="S44" s="56">
        <v>39509</v>
      </c>
      <c r="T44" s="56">
        <v>189612</v>
      </c>
      <c r="U44" s="56">
        <v>229121</v>
      </c>
      <c r="V44" s="56">
        <v>33627</v>
      </c>
      <c r="W44" s="56" t="s">
        <v>26</v>
      </c>
      <c r="X44" s="56">
        <v>33627</v>
      </c>
      <c r="Y44" s="56">
        <v>9765</v>
      </c>
      <c r="Z44" s="56">
        <v>9465</v>
      </c>
      <c r="AA44" s="56">
        <v>19230</v>
      </c>
      <c r="AB44" s="56">
        <v>170451</v>
      </c>
      <c r="AC44" s="56">
        <v>1373</v>
      </c>
      <c r="AD44" s="56" t="s">
        <v>26</v>
      </c>
      <c r="AE44" s="56">
        <v>412</v>
      </c>
      <c r="AF44" s="56">
        <v>13885</v>
      </c>
      <c r="AG44" s="56">
        <v>361</v>
      </c>
      <c r="AH44" s="56">
        <v>468460</v>
      </c>
      <c r="AI44" s="117">
        <v>-7.3376638789768096</v>
      </c>
      <c r="AJ44" s="117">
        <v>1.9850765915308184</v>
      </c>
    </row>
    <row r="45" spans="1:36" s="61" customFormat="1" ht="8.25" customHeight="1" x14ac:dyDescent="0.25">
      <c r="A45" s="142"/>
      <c r="B45" s="55" t="s">
        <v>62</v>
      </c>
      <c r="C45" s="2">
        <v>125947</v>
      </c>
      <c r="D45" s="2">
        <v>118929</v>
      </c>
      <c r="E45" s="2">
        <v>1941</v>
      </c>
      <c r="F45" s="2" t="s">
        <v>26</v>
      </c>
      <c r="G45" s="2">
        <v>1941</v>
      </c>
      <c r="H45" s="2">
        <v>886</v>
      </c>
      <c r="I45" s="2">
        <v>124</v>
      </c>
      <c r="J45" s="2">
        <v>152</v>
      </c>
      <c r="K45" s="2">
        <v>2</v>
      </c>
      <c r="L45" s="2" t="s">
        <v>26</v>
      </c>
      <c r="M45" s="2" t="s">
        <v>26</v>
      </c>
      <c r="N45" s="2">
        <v>1</v>
      </c>
      <c r="O45" s="2">
        <v>2</v>
      </c>
      <c r="P45" s="2">
        <v>128931</v>
      </c>
      <c r="Q45" s="116">
        <v>1.8211253701875616</v>
      </c>
      <c r="R45" s="116">
        <v>0.6098136334503147</v>
      </c>
      <c r="S45" s="56">
        <v>4792.1529450000007</v>
      </c>
      <c r="T45" s="56">
        <v>67392.494121999989</v>
      </c>
      <c r="U45" s="56">
        <v>72184.647066999984</v>
      </c>
      <c r="V45" s="56">
        <v>9203.0109999999986</v>
      </c>
      <c r="W45" s="56" t="s">
        <v>26</v>
      </c>
      <c r="X45" s="56">
        <v>9203.0109999999986</v>
      </c>
      <c r="Y45" s="56">
        <v>2441.0079999999998</v>
      </c>
      <c r="Z45" s="56">
        <v>2279.5460000000003</v>
      </c>
      <c r="AA45" s="56">
        <v>4720.5540000000001</v>
      </c>
      <c r="AB45" s="56">
        <v>198940.66130109999</v>
      </c>
      <c r="AC45" s="56">
        <v>1264.3040000000001</v>
      </c>
      <c r="AD45" s="56" t="s">
        <v>26</v>
      </c>
      <c r="AE45" s="56">
        <v>1.0780000000000001</v>
      </c>
      <c r="AF45" s="56">
        <v>3926.2190000000001</v>
      </c>
      <c r="AG45" s="56">
        <v>102.92499999999998</v>
      </c>
      <c r="AH45" s="56">
        <v>290343.39936809993</v>
      </c>
      <c r="AI45" s="117">
        <v>-4.3382854153412129</v>
      </c>
      <c r="AJ45" s="117">
        <v>1.2303161114953229</v>
      </c>
    </row>
    <row r="46" spans="1:36" s="61" customFormat="1" ht="8.25" customHeight="1" x14ac:dyDescent="0.25">
      <c r="A46" s="142"/>
      <c r="B46" s="55" t="s">
        <v>63</v>
      </c>
      <c r="C46" s="2">
        <v>123316</v>
      </c>
      <c r="D46" s="2">
        <v>113222</v>
      </c>
      <c r="E46" s="2">
        <v>2245</v>
      </c>
      <c r="F46" s="2">
        <v>126</v>
      </c>
      <c r="G46" s="2">
        <v>2371</v>
      </c>
      <c r="H46" s="2">
        <v>870</v>
      </c>
      <c r="I46" s="2">
        <v>141</v>
      </c>
      <c r="J46" s="2">
        <v>149</v>
      </c>
      <c r="K46" s="2" t="s">
        <v>26</v>
      </c>
      <c r="L46" s="2">
        <v>1</v>
      </c>
      <c r="M46" s="2">
        <v>2</v>
      </c>
      <c r="N46" s="2">
        <v>1</v>
      </c>
      <c r="O46" s="2">
        <v>2</v>
      </c>
      <c r="P46" s="2">
        <v>126712</v>
      </c>
      <c r="Q46" s="116">
        <v>-1.4711828558987279</v>
      </c>
      <c r="R46" s="116">
        <v>0.5993182797136164</v>
      </c>
      <c r="S46" s="56">
        <v>11436.872237600001</v>
      </c>
      <c r="T46" s="56">
        <v>52977.852319699996</v>
      </c>
      <c r="U46" s="56">
        <v>64414.724557299996</v>
      </c>
      <c r="V46" s="56">
        <v>6709.7825907999995</v>
      </c>
      <c r="W46" s="56">
        <v>2290.9424089000004</v>
      </c>
      <c r="X46" s="56">
        <v>9000.7249996999999</v>
      </c>
      <c r="Y46" s="56">
        <v>3324.1634438000001</v>
      </c>
      <c r="Z46" s="56">
        <v>2863.7825563000001</v>
      </c>
      <c r="AA46" s="56">
        <v>6187.9460001000007</v>
      </c>
      <c r="AB46" s="56">
        <v>73376.409986800005</v>
      </c>
      <c r="AC46" s="56">
        <v>1.5289999999999997</v>
      </c>
      <c r="AD46" s="56">
        <v>598.13299999999992</v>
      </c>
      <c r="AE46" s="56">
        <v>1923.3780000000002</v>
      </c>
      <c r="AF46" s="56">
        <v>4642.6500615999994</v>
      </c>
      <c r="AG46" s="56">
        <v>21678.808251800001</v>
      </c>
      <c r="AH46" s="56">
        <v>181824.30385730002</v>
      </c>
      <c r="AI46" s="117">
        <v>-6.6017771958945648</v>
      </c>
      <c r="AJ46" s="117">
        <v>0.77047169311897057</v>
      </c>
    </row>
    <row r="47" spans="1:36" s="61" customFormat="1" ht="8.25" customHeight="1" x14ac:dyDescent="0.25">
      <c r="A47" s="151"/>
      <c r="B47" s="63" t="s">
        <v>31</v>
      </c>
      <c r="C47" s="2">
        <v>632428</v>
      </c>
      <c r="D47" s="2">
        <v>602767</v>
      </c>
      <c r="E47" s="2">
        <v>14289</v>
      </c>
      <c r="F47" s="2">
        <v>126</v>
      </c>
      <c r="G47" s="2">
        <v>14415</v>
      </c>
      <c r="H47" s="2">
        <v>4896</v>
      </c>
      <c r="I47" s="2">
        <v>640</v>
      </c>
      <c r="J47" s="2">
        <v>742</v>
      </c>
      <c r="K47" s="2">
        <v>7</v>
      </c>
      <c r="L47" s="2">
        <v>1</v>
      </c>
      <c r="M47" s="2">
        <v>3</v>
      </c>
      <c r="N47" s="2">
        <v>7</v>
      </c>
      <c r="O47" s="2">
        <v>9</v>
      </c>
      <c r="P47" s="2">
        <v>652508</v>
      </c>
      <c r="Q47" s="116">
        <v>0.81843479174488687</v>
      </c>
      <c r="R47" s="116">
        <v>3.0862110302052872</v>
      </c>
      <c r="S47" s="56">
        <v>55738.025182600002</v>
      </c>
      <c r="T47" s="56">
        <v>309982.34644170001</v>
      </c>
      <c r="U47" s="56">
        <v>365720.37162429997</v>
      </c>
      <c r="V47" s="56">
        <v>49539.7935908</v>
      </c>
      <c r="W47" s="56">
        <v>2290.9424089000004</v>
      </c>
      <c r="X47" s="56">
        <v>51830.735999700002</v>
      </c>
      <c r="Y47" s="56">
        <v>15530.1714438</v>
      </c>
      <c r="Z47" s="56">
        <v>14608.328556300001</v>
      </c>
      <c r="AA47" s="56">
        <v>30138.500000100001</v>
      </c>
      <c r="AB47" s="56">
        <v>442768.07128789998</v>
      </c>
      <c r="AC47" s="56">
        <v>2638.8330000000001</v>
      </c>
      <c r="AD47" s="56">
        <v>598.13299999999992</v>
      </c>
      <c r="AE47" s="56">
        <v>2336.4560000000001</v>
      </c>
      <c r="AF47" s="56">
        <v>22453.869061600002</v>
      </c>
      <c r="AG47" s="56">
        <v>22142.7332518</v>
      </c>
      <c r="AH47" s="56">
        <v>940627.70322539983</v>
      </c>
      <c r="AI47" s="117">
        <v>-6.287989973811162</v>
      </c>
      <c r="AJ47" s="117">
        <v>3.9858643961451112</v>
      </c>
    </row>
    <row r="48" spans="1:36" s="61" customFormat="1" ht="8.25" customHeight="1" x14ac:dyDescent="0.25">
      <c r="A48" s="150" t="s">
        <v>64</v>
      </c>
      <c r="B48" s="68" t="s">
        <v>42</v>
      </c>
      <c r="C48" s="2">
        <v>89780</v>
      </c>
      <c r="D48" s="2">
        <v>77102</v>
      </c>
      <c r="E48" s="2">
        <v>3419</v>
      </c>
      <c r="F48" s="2">
        <v>28</v>
      </c>
      <c r="G48" s="2">
        <v>3447</v>
      </c>
      <c r="H48" s="2">
        <v>668</v>
      </c>
      <c r="I48" s="2">
        <v>122</v>
      </c>
      <c r="J48" s="2">
        <v>291</v>
      </c>
      <c r="K48" s="2">
        <v>3</v>
      </c>
      <c r="L48" s="2" t="s">
        <v>26</v>
      </c>
      <c r="M48" s="2">
        <v>1</v>
      </c>
      <c r="N48" s="2">
        <v>1</v>
      </c>
      <c r="O48" s="2">
        <v>15</v>
      </c>
      <c r="P48" s="2">
        <v>94206</v>
      </c>
      <c r="Q48" s="116">
        <v>2.4657653444131435</v>
      </c>
      <c r="R48" s="116">
        <v>0.44557246242424509</v>
      </c>
      <c r="S48" s="56">
        <v>9508</v>
      </c>
      <c r="T48" s="56">
        <v>32715</v>
      </c>
      <c r="U48" s="56">
        <v>42223</v>
      </c>
      <c r="V48" s="56">
        <v>8728</v>
      </c>
      <c r="W48" s="56">
        <v>916</v>
      </c>
      <c r="X48" s="56">
        <v>9644</v>
      </c>
      <c r="Y48" s="56">
        <v>2370</v>
      </c>
      <c r="Z48" s="56">
        <v>2337</v>
      </c>
      <c r="AA48" s="56">
        <v>4707</v>
      </c>
      <c r="AB48" s="56">
        <v>78895</v>
      </c>
      <c r="AC48" s="56">
        <v>980</v>
      </c>
      <c r="AD48" s="56" t="s">
        <v>26</v>
      </c>
      <c r="AE48" s="56">
        <v>6939</v>
      </c>
      <c r="AF48" s="56">
        <v>5285</v>
      </c>
      <c r="AG48" s="56">
        <v>8</v>
      </c>
      <c r="AH48" s="56">
        <v>148681</v>
      </c>
      <c r="AI48" s="117">
        <v>-7.7254870321295357</v>
      </c>
      <c r="AJ48" s="117">
        <v>0.63002854609869274</v>
      </c>
    </row>
    <row r="49" spans="1:36" s="61" customFormat="1" ht="8.25" customHeight="1" x14ac:dyDescent="0.25">
      <c r="A49" s="142"/>
      <c r="B49" s="55" t="s">
        <v>96</v>
      </c>
      <c r="C49" s="2">
        <v>151116</v>
      </c>
      <c r="D49" s="2">
        <v>136060</v>
      </c>
      <c r="E49" s="2">
        <v>4339</v>
      </c>
      <c r="F49" s="2">
        <v>33</v>
      </c>
      <c r="G49" s="2">
        <v>4372</v>
      </c>
      <c r="H49" s="2">
        <v>546</v>
      </c>
      <c r="I49" s="2">
        <v>181</v>
      </c>
      <c r="J49" s="2">
        <v>182</v>
      </c>
      <c r="K49" s="2" t="s">
        <v>26</v>
      </c>
      <c r="L49" s="2" t="s">
        <v>26</v>
      </c>
      <c r="M49" s="2" t="s">
        <v>26</v>
      </c>
      <c r="N49" s="2">
        <v>3</v>
      </c>
      <c r="O49" s="2">
        <v>2</v>
      </c>
      <c r="P49" s="2">
        <v>156221</v>
      </c>
      <c r="Q49" s="116">
        <v>2.6911725071814994</v>
      </c>
      <c r="R49" s="116">
        <v>0.73888898427253036</v>
      </c>
      <c r="S49" s="56">
        <v>15628</v>
      </c>
      <c r="T49" s="56">
        <v>60247</v>
      </c>
      <c r="U49" s="56">
        <v>75875</v>
      </c>
      <c r="V49" s="56">
        <v>12796</v>
      </c>
      <c r="W49" s="56">
        <v>3079</v>
      </c>
      <c r="X49" s="56">
        <v>15875</v>
      </c>
      <c r="Y49" s="56">
        <v>1542</v>
      </c>
      <c r="Z49" s="56">
        <v>3824</v>
      </c>
      <c r="AA49" s="56">
        <v>5366</v>
      </c>
      <c r="AB49" s="56">
        <v>27530</v>
      </c>
      <c r="AC49" s="56" t="s">
        <v>26</v>
      </c>
      <c r="AD49" s="56" t="s">
        <v>26</v>
      </c>
      <c r="AE49" s="56" t="s">
        <v>26</v>
      </c>
      <c r="AF49" s="56">
        <v>4729</v>
      </c>
      <c r="AG49" s="56" t="s">
        <v>26</v>
      </c>
      <c r="AH49" s="56">
        <v>129375</v>
      </c>
      <c r="AI49" s="117">
        <v>-4.2354752511158642</v>
      </c>
      <c r="AJ49" s="117">
        <v>0.54822030489113183</v>
      </c>
    </row>
    <row r="50" spans="1:36" s="61" customFormat="1" ht="8.25" customHeight="1" x14ac:dyDescent="0.25">
      <c r="A50" s="142"/>
      <c r="B50" s="55" t="s">
        <v>65</v>
      </c>
      <c r="C50" s="2">
        <v>179046</v>
      </c>
      <c r="D50" s="2">
        <v>175158</v>
      </c>
      <c r="E50" s="2">
        <v>4560</v>
      </c>
      <c r="F50" s="2">
        <v>29</v>
      </c>
      <c r="G50" s="2">
        <v>4589</v>
      </c>
      <c r="H50" s="2">
        <v>1200</v>
      </c>
      <c r="I50" s="2">
        <v>204</v>
      </c>
      <c r="J50" s="2">
        <v>150</v>
      </c>
      <c r="K50" s="2" t="s">
        <v>26</v>
      </c>
      <c r="L50" s="2" t="s">
        <v>26</v>
      </c>
      <c r="M50" s="2" t="s">
        <v>26</v>
      </c>
      <c r="N50" s="2">
        <v>2</v>
      </c>
      <c r="O50" s="2">
        <v>13</v>
      </c>
      <c r="P50" s="2">
        <v>185000</v>
      </c>
      <c r="Q50" s="116">
        <v>3.8765609558889587</v>
      </c>
      <c r="R50" s="116">
        <v>0.87500695867020506</v>
      </c>
      <c r="S50" s="56">
        <v>108</v>
      </c>
      <c r="T50" s="56">
        <v>89691</v>
      </c>
      <c r="U50" s="56">
        <v>89799</v>
      </c>
      <c r="V50" s="56">
        <v>12815</v>
      </c>
      <c r="W50" s="56">
        <v>1617</v>
      </c>
      <c r="X50" s="56">
        <v>14432</v>
      </c>
      <c r="Y50" s="56">
        <v>2309</v>
      </c>
      <c r="Z50" s="56">
        <v>3569</v>
      </c>
      <c r="AA50" s="56">
        <v>5878</v>
      </c>
      <c r="AB50" s="56">
        <v>161964</v>
      </c>
      <c r="AC50" s="56" t="s">
        <v>26</v>
      </c>
      <c r="AD50" s="56" t="s">
        <v>26</v>
      </c>
      <c r="AE50" s="56" t="s">
        <v>26</v>
      </c>
      <c r="AF50" s="56">
        <v>5807</v>
      </c>
      <c r="AG50" s="56" t="s">
        <v>26</v>
      </c>
      <c r="AH50" s="56">
        <v>277880</v>
      </c>
      <c r="AI50" s="117">
        <v>-2.1280492529638422</v>
      </c>
      <c r="AJ50" s="117">
        <v>1.177507300688289</v>
      </c>
    </row>
    <row r="51" spans="1:36" s="61" customFormat="1" ht="8.25" customHeight="1" x14ac:dyDescent="0.25">
      <c r="A51" s="142"/>
      <c r="B51" s="55" t="s">
        <v>66</v>
      </c>
      <c r="C51" s="2">
        <v>106264</v>
      </c>
      <c r="D51" s="2">
        <v>105748</v>
      </c>
      <c r="E51" s="2">
        <v>3117</v>
      </c>
      <c r="F51" s="2">
        <v>34</v>
      </c>
      <c r="G51" s="2">
        <v>3151</v>
      </c>
      <c r="H51" s="2">
        <v>700</v>
      </c>
      <c r="I51" s="2">
        <v>56</v>
      </c>
      <c r="J51" s="2">
        <v>123</v>
      </c>
      <c r="K51" s="2">
        <v>1</v>
      </c>
      <c r="L51" s="2" t="s">
        <v>26</v>
      </c>
      <c r="M51" s="2">
        <v>4</v>
      </c>
      <c r="N51" s="2">
        <v>2</v>
      </c>
      <c r="O51" s="2">
        <v>2</v>
      </c>
      <c r="P51" s="2">
        <v>110247</v>
      </c>
      <c r="Q51" s="116">
        <v>4.859327740683673</v>
      </c>
      <c r="R51" s="116">
        <v>0.52144266039196807</v>
      </c>
      <c r="S51" s="56">
        <v>26.6199461</v>
      </c>
      <c r="T51" s="56">
        <v>53603.227453399995</v>
      </c>
      <c r="U51" s="56">
        <v>53629.847399499995</v>
      </c>
      <c r="V51" s="56">
        <v>7603.7801339999996</v>
      </c>
      <c r="W51" s="56">
        <v>4245.5445857000004</v>
      </c>
      <c r="X51" s="56">
        <v>11849.3247197</v>
      </c>
      <c r="Y51" s="56">
        <v>1878.5665542000002</v>
      </c>
      <c r="Z51" s="56">
        <v>2037.5760774999999</v>
      </c>
      <c r="AA51" s="56">
        <v>3916.1426317</v>
      </c>
      <c r="AB51" s="56">
        <v>122089.20316670001</v>
      </c>
      <c r="AC51" s="56">
        <v>225.44900000000001</v>
      </c>
      <c r="AD51" s="56" t="s">
        <v>26</v>
      </c>
      <c r="AE51" s="56">
        <v>17620.109</v>
      </c>
      <c r="AF51" s="56">
        <v>8543.5489999999991</v>
      </c>
      <c r="AG51" s="56">
        <v>37589.101999999999</v>
      </c>
      <c r="AH51" s="56">
        <v>255462.72691759997</v>
      </c>
      <c r="AI51" s="117">
        <v>-23.421635529868343</v>
      </c>
      <c r="AJ51" s="117">
        <v>1.0825109490943892</v>
      </c>
    </row>
    <row r="52" spans="1:36" s="61" customFormat="1" ht="8.25" customHeight="1" x14ac:dyDescent="0.25">
      <c r="A52" s="151"/>
      <c r="B52" s="63" t="s">
        <v>31</v>
      </c>
      <c r="C52" s="2">
        <v>526206</v>
      </c>
      <c r="D52" s="2">
        <v>494068</v>
      </c>
      <c r="E52" s="2">
        <v>15435</v>
      </c>
      <c r="F52" s="2">
        <v>124</v>
      </c>
      <c r="G52" s="2">
        <v>15559</v>
      </c>
      <c r="H52" s="2">
        <v>3114</v>
      </c>
      <c r="I52" s="2">
        <v>563</v>
      </c>
      <c r="J52" s="2">
        <v>746</v>
      </c>
      <c r="K52" s="2">
        <v>4</v>
      </c>
      <c r="L52" s="2" t="s">
        <v>26</v>
      </c>
      <c r="M52" s="2">
        <v>5</v>
      </c>
      <c r="N52" s="2">
        <v>8</v>
      </c>
      <c r="O52" s="2">
        <v>32</v>
      </c>
      <c r="P52" s="2">
        <v>545674</v>
      </c>
      <c r="Q52" s="116">
        <v>3.4845439029015739</v>
      </c>
      <c r="R52" s="116">
        <v>2.5809110657589485</v>
      </c>
      <c r="S52" s="56">
        <f t="shared" ref="S52:AH52" si="0">SUM(S48:S51)</f>
        <v>25270.6199461</v>
      </c>
      <c r="T52" s="56">
        <f t="shared" si="0"/>
        <v>236256.2274534</v>
      </c>
      <c r="U52" s="56">
        <f t="shared" si="0"/>
        <v>261526.84739949999</v>
      </c>
      <c r="V52" s="56">
        <f t="shared" si="0"/>
        <v>41942.780134000001</v>
      </c>
      <c r="W52" s="56">
        <f t="shared" si="0"/>
        <v>9857.5445857000013</v>
      </c>
      <c r="X52" s="56">
        <f t="shared" si="0"/>
        <v>51800.324719700002</v>
      </c>
      <c r="Y52" s="56">
        <f t="shared" si="0"/>
        <v>8099.5665542000006</v>
      </c>
      <c r="Z52" s="56">
        <f t="shared" si="0"/>
        <v>11767.5760775</v>
      </c>
      <c r="AA52" s="56">
        <f t="shared" si="0"/>
        <v>19867.1426317</v>
      </c>
      <c r="AB52" s="56">
        <f t="shared" si="0"/>
        <v>390478.20316670003</v>
      </c>
      <c r="AC52" s="56">
        <f t="shared" si="0"/>
        <v>1205.4490000000001</v>
      </c>
      <c r="AD52" s="56">
        <f t="shared" si="0"/>
        <v>0</v>
      </c>
      <c r="AE52" s="56">
        <f t="shared" si="0"/>
        <v>24559.109</v>
      </c>
      <c r="AF52" s="56">
        <f t="shared" si="0"/>
        <v>24364.548999999999</v>
      </c>
      <c r="AG52" s="56">
        <f t="shared" si="0"/>
        <v>37597.101999999999</v>
      </c>
      <c r="AH52" s="56">
        <f t="shared" si="0"/>
        <v>811398.72691760003</v>
      </c>
      <c r="AI52" s="117">
        <v>-11.191394717160307</v>
      </c>
      <c r="AJ52" s="117">
        <v>3.4386230429755256</v>
      </c>
    </row>
    <row r="53" spans="1:36" s="61" customFormat="1" ht="8.25" customHeight="1" x14ac:dyDescent="0.25">
      <c r="A53" s="150" t="s">
        <v>67</v>
      </c>
      <c r="B53" s="68" t="s">
        <v>40</v>
      </c>
      <c r="C53" s="2">
        <v>136625</v>
      </c>
      <c r="D53" s="2">
        <v>135959</v>
      </c>
      <c r="E53" s="2">
        <v>1984</v>
      </c>
      <c r="F53" s="2">
        <v>90</v>
      </c>
      <c r="G53" s="2">
        <v>2074</v>
      </c>
      <c r="H53" s="2">
        <v>744</v>
      </c>
      <c r="I53" s="2">
        <v>180</v>
      </c>
      <c r="J53" s="2">
        <v>120</v>
      </c>
      <c r="K53" s="2" t="s">
        <v>26</v>
      </c>
      <c r="L53" s="2" t="s">
        <v>26</v>
      </c>
      <c r="M53" s="2" t="s">
        <v>26</v>
      </c>
      <c r="N53" s="2">
        <v>3</v>
      </c>
      <c r="O53" s="2">
        <v>6</v>
      </c>
      <c r="P53" s="2">
        <v>139572</v>
      </c>
      <c r="Q53" s="116">
        <v>1.3970315803238673</v>
      </c>
      <c r="R53" s="116">
        <v>0.6601430877595561</v>
      </c>
      <c r="S53" s="56">
        <v>41.909485500000002</v>
      </c>
      <c r="T53" s="56">
        <v>73323.69075780001</v>
      </c>
      <c r="U53" s="56">
        <v>73365.60024330001</v>
      </c>
      <c r="V53" s="56">
        <v>5910.7139411000007</v>
      </c>
      <c r="W53" s="56">
        <v>1966.2740665000001</v>
      </c>
      <c r="X53" s="56">
        <v>7876.9880076000009</v>
      </c>
      <c r="Y53" s="56">
        <v>1262.4897421999999</v>
      </c>
      <c r="Z53" s="56">
        <v>3563.5872907999997</v>
      </c>
      <c r="AA53" s="56">
        <v>4826.0770329999996</v>
      </c>
      <c r="AB53" s="56">
        <v>40426.887888200006</v>
      </c>
      <c r="AC53" s="56" t="s">
        <v>26</v>
      </c>
      <c r="AD53" s="56" t="s">
        <v>26</v>
      </c>
      <c r="AE53" s="56" t="s">
        <v>26</v>
      </c>
      <c r="AF53" s="56">
        <v>18597.986169999996</v>
      </c>
      <c r="AG53" s="56">
        <v>2.37384E-2</v>
      </c>
      <c r="AH53" s="56">
        <v>145093.5630805</v>
      </c>
      <c r="AI53" s="117">
        <v>-5.6642718487250887</v>
      </c>
      <c r="AJ53" s="117">
        <v>0.61482695566942902</v>
      </c>
    </row>
    <row r="54" spans="1:36" s="61" customFormat="1" ht="8.25" customHeight="1" x14ac:dyDescent="0.25">
      <c r="A54" s="142"/>
      <c r="B54" s="86" t="s">
        <v>68</v>
      </c>
      <c r="C54" s="2">
        <v>303277</v>
      </c>
      <c r="D54" s="2">
        <v>300945</v>
      </c>
      <c r="E54" s="2">
        <v>7137</v>
      </c>
      <c r="F54" s="2">
        <v>72</v>
      </c>
      <c r="G54" s="2">
        <v>7209</v>
      </c>
      <c r="H54" s="2">
        <v>2084</v>
      </c>
      <c r="I54" s="2">
        <v>241</v>
      </c>
      <c r="J54" s="2">
        <v>261</v>
      </c>
      <c r="K54" s="2">
        <v>1</v>
      </c>
      <c r="L54" s="2">
        <v>3</v>
      </c>
      <c r="M54" s="2">
        <v>2</v>
      </c>
      <c r="N54" s="2">
        <v>79</v>
      </c>
      <c r="O54" s="2">
        <v>17</v>
      </c>
      <c r="P54" s="2">
        <v>312933</v>
      </c>
      <c r="Q54" s="116">
        <v>1.6227397900862517</v>
      </c>
      <c r="R54" s="116">
        <v>1.4801002843110449</v>
      </c>
      <c r="S54" s="56">
        <v>47463.42341267001</v>
      </c>
      <c r="T54" s="56">
        <v>122350.92548133002</v>
      </c>
      <c r="U54" s="56">
        <v>169814.34889400002</v>
      </c>
      <c r="V54" s="56">
        <v>16120.138171999999</v>
      </c>
      <c r="W54" s="56">
        <v>7473.372440000001</v>
      </c>
      <c r="X54" s="56">
        <v>23593.510611999998</v>
      </c>
      <c r="Y54" s="56">
        <v>7492.5128089999998</v>
      </c>
      <c r="Z54" s="56">
        <v>4867.5779840000005</v>
      </c>
      <c r="AA54" s="56">
        <v>12360.090792999999</v>
      </c>
      <c r="AB54" s="56">
        <v>311072.81245599996</v>
      </c>
      <c r="AC54" s="56">
        <v>66.435000000000002</v>
      </c>
      <c r="AD54" s="56">
        <v>13740.160999999998</v>
      </c>
      <c r="AE54" s="56">
        <v>4906.674</v>
      </c>
      <c r="AF54" s="56">
        <v>6362.8854679999995</v>
      </c>
      <c r="AG54" s="56">
        <v>13776.149309</v>
      </c>
      <c r="AH54" s="56">
        <v>555693.0675319999</v>
      </c>
      <c r="AI54" s="117">
        <v>-5.378786188098525</v>
      </c>
      <c r="AJ54" s="117">
        <v>2.3547224959094204</v>
      </c>
    </row>
    <row r="55" spans="1:36" s="61" customFormat="1" ht="8.25" customHeight="1" x14ac:dyDescent="0.25">
      <c r="A55" s="142"/>
      <c r="B55" s="86" t="s">
        <v>69</v>
      </c>
      <c r="C55" s="2">
        <v>219818</v>
      </c>
      <c r="D55" s="2">
        <v>206881</v>
      </c>
      <c r="E55" s="2">
        <v>5531</v>
      </c>
      <c r="F55" s="2">
        <v>72</v>
      </c>
      <c r="G55" s="2">
        <v>5603</v>
      </c>
      <c r="H55" s="2">
        <v>1392</v>
      </c>
      <c r="I55" s="2">
        <v>182</v>
      </c>
      <c r="J55" s="2">
        <v>241</v>
      </c>
      <c r="K55" s="2">
        <v>3</v>
      </c>
      <c r="L55" s="2" t="s">
        <v>26</v>
      </c>
      <c r="M55" s="2">
        <v>2</v>
      </c>
      <c r="N55" s="2">
        <v>1</v>
      </c>
      <c r="O55" s="2">
        <v>12</v>
      </c>
      <c r="P55" s="2">
        <v>227072</v>
      </c>
      <c r="Q55" s="116">
        <v>3.674483161662649</v>
      </c>
      <c r="R55" s="116">
        <v>1.0739977303738424</v>
      </c>
      <c r="S55" s="56">
        <v>24429</v>
      </c>
      <c r="T55" s="56">
        <v>94905</v>
      </c>
      <c r="U55" s="56">
        <v>119334</v>
      </c>
      <c r="V55" s="56">
        <v>16055</v>
      </c>
      <c r="W55" s="56">
        <v>4042</v>
      </c>
      <c r="X55" s="56">
        <v>20097</v>
      </c>
      <c r="Y55" s="56">
        <v>2724</v>
      </c>
      <c r="Z55" s="56">
        <v>4840</v>
      </c>
      <c r="AA55" s="56">
        <v>7564</v>
      </c>
      <c r="AB55" s="56">
        <v>259040</v>
      </c>
      <c r="AC55" s="56">
        <v>1261</v>
      </c>
      <c r="AD55" s="56" t="s">
        <v>26</v>
      </c>
      <c r="AE55" s="56">
        <v>2519</v>
      </c>
      <c r="AF55" s="56">
        <v>3537</v>
      </c>
      <c r="AG55" s="56">
        <v>6800</v>
      </c>
      <c r="AH55" s="56">
        <v>420152</v>
      </c>
      <c r="AI55" s="117">
        <v>-2.1019495634627527</v>
      </c>
      <c r="AJ55" s="117">
        <v>1.7803737780917397</v>
      </c>
    </row>
    <row r="56" spans="1:36" s="61" customFormat="1" ht="8.25" customHeight="1" x14ac:dyDescent="0.25">
      <c r="A56" s="142"/>
      <c r="B56" s="55" t="s">
        <v>70</v>
      </c>
      <c r="C56" s="2">
        <v>100280</v>
      </c>
      <c r="D56" s="2">
        <v>95021</v>
      </c>
      <c r="E56" s="2">
        <v>2439</v>
      </c>
      <c r="F56" s="2" t="s">
        <v>26</v>
      </c>
      <c r="G56" s="2">
        <v>2439</v>
      </c>
      <c r="H56" s="2">
        <v>1059</v>
      </c>
      <c r="I56" s="2">
        <v>122</v>
      </c>
      <c r="J56" s="2">
        <v>118</v>
      </c>
      <c r="K56" s="2" t="s">
        <v>26</v>
      </c>
      <c r="L56" s="2" t="s">
        <v>26</v>
      </c>
      <c r="M56" s="2" t="s">
        <v>26</v>
      </c>
      <c r="N56" s="2" t="s">
        <v>26</v>
      </c>
      <c r="O56" s="2">
        <v>4</v>
      </c>
      <c r="P56" s="2">
        <v>103900</v>
      </c>
      <c r="Q56" s="116">
        <v>2.0598607113739278</v>
      </c>
      <c r="R56" s="116">
        <v>0.49142282705856388</v>
      </c>
      <c r="S56" s="56">
        <v>299</v>
      </c>
      <c r="T56" s="56">
        <v>62265</v>
      </c>
      <c r="U56" s="56">
        <v>62564</v>
      </c>
      <c r="V56" s="56">
        <v>8004</v>
      </c>
      <c r="W56" s="56">
        <v>0</v>
      </c>
      <c r="X56" s="56">
        <v>8004</v>
      </c>
      <c r="Y56" s="56">
        <v>1201</v>
      </c>
      <c r="Z56" s="56">
        <v>2421</v>
      </c>
      <c r="AA56" s="56">
        <v>3622</v>
      </c>
      <c r="AB56" s="56">
        <v>100848</v>
      </c>
      <c r="AC56" s="56" t="s">
        <v>26</v>
      </c>
      <c r="AD56" s="56" t="s">
        <v>26</v>
      </c>
      <c r="AE56" s="56" t="s">
        <v>26</v>
      </c>
      <c r="AF56" s="56" t="s">
        <v>26</v>
      </c>
      <c r="AG56" s="56">
        <v>1</v>
      </c>
      <c r="AH56" s="56">
        <v>175039</v>
      </c>
      <c r="AI56" s="117">
        <v>0.33303144596407158</v>
      </c>
      <c r="AJ56" s="117">
        <v>0.7417192962151794</v>
      </c>
    </row>
    <row r="57" spans="1:36" s="61" customFormat="1" ht="8.25" customHeight="1" x14ac:dyDescent="0.25">
      <c r="A57" s="142"/>
      <c r="B57" s="55" t="s">
        <v>71</v>
      </c>
      <c r="C57" s="2">
        <v>129346</v>
      </c>
      <c r="D57" s="2">
        <v>127883</v>
      </c>
      <c r="E57" s="2">
        <v>5124</v>
      </c>
      <c r="F57" s="2" t="s">
        <v>26</v>
      </c>
      <c r="G57" s="2">
        <v>5124</v>
      </c>
      <c r="H57" s="2">
        <v>1019</v>
      </c>
      <c r="I57" s="2">
        <v>113</v>
      </c>
      <c r="J57" s="2">
        <v>313</v>
      </c>
      <c r="K57" s="2" t="s">
        <v>26</v>
      </c>
      <c r="L57" s="2" t="s">
        <v>26</v>
      </c>
      <c r="M57" s="2" t="s">
        <v>26</v>
      </c>
      <c r="N57" s="2">
        <v>1</v>
      </c>
      <c r="O57" s="2">
        <v>3</v>
      </c>
      <c r="P57" s="2">
        <v>135806</v>
      </c>
      <c r="Q57" s="116">
        <v>2.0154293397835086</v>
      </c>
      <c r="R57" s="116">
        <v>0.64233078394143717</v>
      </c>
      <c r="S57" s="56">
        <v>14769</v>
      </c>
      <c r="T57" s="56">
        <v>53117</v>
      </c>
      <c r="U57" s="56">
        <v>67886</v>
      </c>
      <c r="V57" s="56">
        <v>20416</v>
      </c>
      <c r="W57" s="56">
        <v>0</v>
      </c>
      <c r="X57" s="56">
        <v>20416</v>
      </c>
      <c r="Y57" s="56">
        <v>2865</v>
      </c>
      <c r="Z57" s="56">
        <v>2474</v>
      </c>
      <c r="AA57" s="56">
        <v>5339</v>
      </c>
      <c r="AB57" s="56">
        <v>101705</v>
      </c>
      <c r="AC57" s="56" t="s">
        <v>26</v>
      </c>
      <c r="AD57" s="56" t="s">
        <v>26</v>
      </c>
      <c r="AE57" s="56" t="s">
        <v>26</v>
      </c>
      <c r="AF57" s="56">
        <v>4340</v>
      </c>
      <c r="AG57" s="56" t="s">
        <v>26</v>
      </c>
      <c r="AH57" s="56">
        <v>199686</v>
      </c>
      <c r="AI57" s="117">
        <v>-5.5112074309265475</v>
      </c>
      <c r="AJ57" s="117">
        <v>0.84615976658929892</v>
      </c>
    </row>
    <row r="58" spans="1:36" s="61" customFormat="1" ht="8.25" customHeight="1" x14ac:dyDescent="0.25">
      <c r="A58" s="151"/>
      <c r="B58" s="63" t="s">
        <v>31</v>
      </c>
      <c r="C58" s="2">
        <v>889346</v>
      </c>
      <c r="D58" s="2">
        <v>866689</v>
      </c>
      <c r="E58" s="2">
        <v>22215</v>
      </c>
      <c r="F58" s="2">
        <v>234</v>
      </c>
      <c r="G58" s="2">
        <v>22449</v>
      </c>
      <c r="H58" s="2">
        <v>6298</v>
      </c>
      <c r="I58" s="2">
        <v>838</v>
      </c>
      <c r="J58" s="2">
        <v>1053</v>
      </c>
      <c r="K58" s="2">
        <v>4</v>
      </c>
      <c r="L58" s="2">
        <v>3</v>
      </c>
      <c r="M58" s="2">
        <v>4</v>
      </c>
      <c r="N58" s="2">
        <v>84</v>
      </c>
      <c r="O58" s="2">
        <v>42</v>
      </c>
      <c r="P58" s="2">
        <v>919283</v>
      </c>
      <c r="Q58" s="116">
        <v>2.195356489741922</v>
      </c>
      <c r="R58" s="116">
        <v>4.3479947134444439</v>
      </c>
      <c r="S58" s="56">
        <v>87002.332898170018</v>
      </c>
      <c r="T58" s="56">
        <v>405961.61623913003</v>
      </c>
      <c r="U58" s="56">
        <v>492963.94913730002</v>
      </c>
      <c r="V58" s="56">
        <v>66505.852113100002</v>
      </c>
      <c r="W58" s="56">
        <v>13481.646506500001</v>
      </c>
      <c r="X58" s="56">
        <v>79987.498619599995</v>
      </c>
      <c r="Y58" s="56">
        <v>15545.002551199999</v>
      </c>
      <c r="Z58" s="56">
        <v>18166.165274799998</v>
      </c>
      <c r="AA58" s="56">
        <v>33711.167825999997</v>
      </c>
      <c r="AB58" s="56">
        <v>813092.70034420001</v>
      </c>
      <c r="AC58" s="56">
        <v>1327.4349999999999</v>
      </c>
      <c r="AD58" s="56">
        <v>13740.160999999998</v>
      </c>
      <c r="AE58" s="56">
        <v>7425.674</v>
      </c>
      <c r="AF58" s="56">
        <v>32837.871637999997</v>
      </c>
      <c r="AG58" s="56">
        <v>20577.1730474</v>
      </c>
      <c r="AH58" s="56">
        <v>1495663.6306125</v>
      </c>
      <c r="AI58" s="117">
        <v>-3.8808227507755881</v>
      </c>
      <c r="AJ58" s="117">
        <v>6.3378022924750681</v>
      </c>
    </row>
    <row r="59" spans="1:36" s="61" customFormat="1" ht="8.25" customHeight="1" x14ac:dyDescent="0.25">
      <c r="A59" s="150" t="s">
        <v>72</v>
      </c>
      <c r="B59" s="55" t="s">
        <v>73</v>
      </c>
      <c r="C59" s="2">
        <v>843770</v>
      </c>
      <c r="D59" s="2">
        <v>782271</v>
      </c>
      <c r="E59" s="2">
        <v>51411</v>
      </c>
      <c r="F59" s="2">
        <v>391</v>
      </c>
      <c r="G59" s="2">
        <v>51802</v>
      </c>
      <c r="H59" s="2">
        <v>2440</v>
      </c>
      <c r="I59" s="2">
        <v>571</v>
      </c>
      <c r="J59" s="2">
        <v>813</v>
      </c>
      <c r="K59" s="2">
        <v>13</v>
      </c>
      <c r="L59" s="2" t="s">
        <v>26</v>
      </c>
      <c r="M59" s="2">
        <v>1</v>
      </c>
      <c r="N59" s="2">
        <v>11</v>
      </c>
      <c r="O59" s="2">
        <v>38</v>
      </c>
      <c r="P59" s="2">
        <v>898888</v>
      </c>
      <c r="Q59" s="116">
        <v>1.6988885268455161</v>
      </c>
      <c r="R59" s="116">
        <v>4.2515311084602336</v>
      </c>
      <c r="S59" s="56">
        <v>1926.0979999999997</v>
      </c>
      <c r="T59" s="56">
        <v>392810.05590000004</v>
      </c>
      <c r="U59" s="56">
        <v>394736.15390000003</v>
      </c>
      <c r="V59" s="56">
        <v>49341.118249299994</v>
      </c>
      <c r="W59" s="56">
        <v>12281.306834500001</v>
      </c>
      <c r="X59" s="56">
        <v>61622.425083799993</v>
      </c>
      <c r="Y59" s="56">
        <v>19515.870499999997</v>
      </c>
      <c r="Z59" s="56">
        <v>15069.5162</v>
      </c>
      <c r="AA59" s="56">
        <v>34585.386699999995</v>
      </c>
      <c r="AB59" s="56">
        <v>349439.54701620003</v>
      </c>
      <c r="AC59" s="56">
        <v>301.05099999999999</v>
      </c>
      <c r="AD59" s="56" t="s">
        <v>26</v>
      </c>
      <c r="AE59" s="56">
        <v>13829.977999999999</v>
      </c>
      <c r="AF59" s="56">
        <v>32885.298900000002</v>
      </c>
      <c r="AG59" s="56">
        <v>5362.2565999999997</v>
      </c>
      <c r="AH59" s="56">
        <v>892762.09720000008</v>
      </c>
      <c r="AI59" s="117">
        <v>-3.6643355040048302</v>
      </c>
      <c r="AJ59" s="117">
        <v>3.783036205775693</v>
      </c>
    </row>
    <row r="60" spans="1:36" s="61" customFormat="1" ht="8.25" customHeight="1" x14ac:dyDescent="0.25">
      <c r="A60" s="142"/>
      <c r="B60" s="55" t="s">
        <v>46</v>
      </c>
      <c r="C60" s="2">
        <v>134284</v>
      </c>
      <c r="D60" s="2">
        <v>93741</v>
      </c>
      <c r="E60" s="2">
        <v>4603</v>
      </c>
      <c r="F60" s="2">
        <v>49</v>
      </c>
      <c r="G60" s="2">
        <v>4652</v>
      </c>
      <c r="H60" s="2">
        <v>331</v>
      </c>
      <c r="I60" s="2">
        <v>71</v>
      </c>
      <c r="J60" s="2">
        <v>252</v>
      </c>
      <c r="K60" s="2" t="s">
        <v>26</v>
      </c>
      <c r="L60" s="2" t="s">
        <v>26</v>
      </c>
      <c r="M60" s="2">
        <v>1</v>
      </c>
      <c r="N60" s="2">
        <v>2</v>
      </c>
      <c r="O60" s="2">
        <v>9</v>
      </c>
      <c r="P60" s="2">
        <v>139531</v>
      </c>
      <c r="Q60" s="116">
        <v>0.66663299833341749</v>
      </c>
      <c r="R60" s="116">
        <v>0.65994916729844533</v>
      </c>
      <c r="S60" s="56">
        <v>1849.3075600000002</v>
      </c>
      <c r="T60" s="56">
        <v>51062.366749999994</v>
      </c>
      <c r="U60" s="56">
        <v>52911.674309999995</v>
      </c>
      <c r="V60" s="56">
        <v>14414.129440000001</v>
      </c>
      <c r="W60" s="56">
        <v>2415.0101100000002</v>
      </c>
      <c r="X60" s="56">
        <v>16829.13955</v>
      </c>
      <c r="Y60" s="56">
        <v>742.47685999999987</v>
      </c>
      <c r="Z60" s="56">
        <v>2049.10178</v>
      </c>
      <c r="AA60" s="56">
        <v>2791.5786399999997</v>
      </c>
      <c r="AB60" s="56">
        <v>81586.765719999981</v>
      </c>
      <c r="AC60" s="56" t="s">
        <v>26</v>
      </c>
      <c r="AD60" s="56" t="s">
        <v>26</v>
      </c>
      <c r="AE60" s="56">
        <v>16194.009999999997</v>
      </c>
      <c r="AF60" s="56">
        <v>4707.3162400000001</v>
      </c>
      <c r="AG60" s="56">
        <v>16.790410000000001</v>
      </c>
      <c r="AH60" s="56">
        <v>175037.27486999999</v>
      </c>
      <c r="AI60" s="117">
        <v>-16.011999071956705</v>
      </c>
      <c r="AJ60" s="117">
        <v>0.74171198606024535</v>
      </c>
    </row>
    <row r="61" spans="1:36" s="61" customFormat="1" ht="8.25" customHeight="1" x14ac:dyDescent="0.25">
      <c r="A61" s="142"/>
      <c r="B61" s="85" t="s">
        <v>74</v>
      </c>
      <c r="C61" s="2">
        <v>203933</v>
      </c>
      <c r="D61" s="2">
        <v>188322</v>
      </c>
      <c r="E61" s="2">
        <v>5887</v>
      </c>
      <c r="F61" s="2">
        <v>81</v>
      </c>
      <c r="G61" s="2">
        <v>5968</v>
      </c>
      <c r="H61" s="2">
        <v>841</v>
      </c>
      <c r="I61" s="2">
        <v>219</v>
      </c>
      <c r="J61" s="2">
        <v>70</v>
      </c>
      <c r="K61" s="2">
        <v>1</v>
      </c>
      <c r="L61" s="2">
        <v>1</v>
      </c>
      <c r="M61" s="2">
        <v>1</v>
      </c>
      <c r="N61" s="2">
        <v>1</v>
      </c>
      <c r="O61" s="2">
        <v>10</v>
      </c>
      <c r="P61" s="2">
        <v>210826</v>
      </c>
      <c r="Q61" s="116">
        <v>2.5707641260666918</v>
      </c>
      <c r="R61" s="116">
        <v>0.99715793010056575</v>
      </c>
      <c r="S61" s="56">
        <v>454</v>
      </c>
      <c r="T61" s="56">
        <v>96405</v>
      </c>
      <c r="U61" s="56">
        <v>96859</v>
      </c>
      <c r="V61" s="56">
        <v>10714</v>
      </c>
      <c r="W61" s="56">
        <v>2664</v>
      </c>
      <c r="X61" s="56">
        <v>13378</v>
      </c>
      <c r="Y61" s="56">
        <v>1037</v>
      </c>
      <c r="Z61" s="56">
        <v>4949</v>
      </c>
      <c r="AA61" s="56">
        <v>5986</v>
      </c>
      <c r="AB61" s="56">
        <v>35173</v>
      </c>
      <c r="AC61" s="56">
        <v>230</v>
      </c>
      <c r="AD61" s="56">
        <v>17381</v>
      </c>
      <c r="AE61" s="56">
        <v>497</v>
      </c>
      <c r="AF61" s="56">
        <v>4821</v>
      </c>
      <c r="AG61" s="56">
        <v>687</v>
      </c>
      <c r="AH61" s="56">
        <v>175012</v>
      </c>
      <c r="AI61" s="117">
        <v>-7.4005682569749043</v>
      </c>
      <c r="AJ61" s="117">
        <v>0.7416048850211151</v>
      </c>
    </row>
    <row r="62" spans="1:36" s="61" customFormat="1" ht="8.25" customHeight="1" x14ac:dyDescent="0.25">
      <c r="A62" s="142"/>
      <c r="B62" s="55" t="s">
        <v>31</v>
      </c>
      <c r="C62" s="2">
        <v>1181987</v>
      </c>
      <c r="D62" s="2">
        <v>1064334</v>
      </c>
      <c r="E62" s="2">
        <v>61901</v>
      </c>
      <c r="F62" s="2">
        <v>521</v>
      </c>
      <c r="G62" s="2">
        <v>62422</v>
      </c>
      <c r="H62" s="2">
        <v>3612</v>
      </c>
      <c r="I62" s="2">
        <v>861</v>
      </c>
      <c r="J62" s="2">
        <v>1135</v>
      </c>
      <c r="K62" s="2">
        <v>14</v>
      </c>
      <c r="L62" s="2">
        <v>1</v>
      </c>
      <c r="M62" s="2">
        <v>3</v>
      </c>
      <c r="N62" s="2">
        <v>14</v>
      </c>
      <c r="O62" s="2">
        <v>57</v>
      </c>
      <c r="P62" s="2">
        <v>1249245</v>
      </c>
      <c r="Q62" s="116">
        <v>1.728309206438652</v>
      </c>
      <c r="R62" s="116">
        <v>5.908638205859245</v>
      </c>
      <c r="S62" s="56">
        <v>4229.4055600000002</v>
      </c>
      <c r="T62" s="56">
        <v>540277.42265000008</v>
      </c>
      <c r="U62" s="56">
        <v>544506.82820999995</v>
      </c>
      <c r="V62" s="56">
        <v>74469.247689299998</v>
      </c>
      <c r="W62" s="56">
        <v>17360.316944500002</v>
      </c>
      <c r="X62" s="56">
        <v>91829.564633799993</v>
      </c>
      <c r="Y62" s="56">
        <v>21295.347359999996</v>
      </c>
      <c r="Z62" s="56">
        <v>22067.617979999999</v>
      </c>
      <c r="AA62" s="56">
        <v>43362.965339999995</v>
      </c>
      <c r="AB62" s="56">
        <v>466199.31273619999</v>
      </c>
      <c r="AC62" s="56">
        <v>531.05099999999993</v>
      </c>
      <c r="AD62" s="56">
        <v>17381</v>
      </c>
      <c r="AE62" s="56">
        <v>30520.987999999998</v>
      </c>
      <c r="AF62" s="56">
        <v>42413.615140000002</v>
      </c>
      <c r="AG62" s="56">
        <v>6066.0470099999993</v>
      </c>
      <c r="AH62" s="56">
        <v>1242811.37207</v>
      </c>
      <c r="AI62" s="117">
        <v>-6.1410544213947258</v>
      </c>
      <c r="AJ62" s="117">
        <v>5.2663530768570537</v>
      </c>
    </row>
    <row r="63" spans="1:36" s="61" customFormat="1" ht="8.25" customHeight="1" x14ac:dyDescent="0.25">
      <c r="A63" s="54" t="s">
        <v>75</v>
      </c>
      <c r="B63" s="87" t="s">
        <v>76</v>
      </c>
      <c r="C63" s="2">
        <v>48814</v>
      </c>
      <c r="D63" s="2">
        <v>48814</v>
      </c>
      <c r="E63" s="2">
        <v>629</v>
      </c>
      <c r="F63" s="2" t="s">
        <v>26</v>
      </c>
      <c r="G63" s="2">
        <v>629</v>
      </c>
      <c r="H63" s="2">
        <v>259</v>
      </c>
      <c r="I63" s="2">
        <v>47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26</v>
      </c>
      <c r="O63" s="2">
        <v>2</v>
      </c>
      <c r="P63" s="2">
        <v>49704</v>
      </c>
      <c r="Q63" s="116">
        <v>8.2592786199686348</v>
      </c>
      <c r="R63" s="116">
        <v>0.23508835607429118</v>
      </c>
      <c r="S63" s="56" t="s">
        <v>26</v>
      </c>
      <c r="T63" s="56">
        <v>20692.129999999997</v>
      </c>
      <c r="U63" s="56">
        <v>20692.129999999997</v>
      </c>
      <c r="V63" s="56">
        <v>7832.9499999999989</v>
      </c>
      <c r="W63" s="56">
        <v>0</v>
      </c>
      <c r="X63" s="56">
        <v>7832.9499999999989</v>
      </c>
      <c r="Y63" s="56">
        <v>4026.7900000000004</v>
      </c>
      <c r="Z63" s="56">
        <v>2025.82</v>
      </c>
      <c r="AA63" s="56">
        <v>6052.6100000000006</v>
      </c>
      <c r="AB63" s="56" t="s">
        <v>26</v>
      </c>
      <c r="AC63" s="56" t="s">
        <v>26</v>
      </c>
      <c r="AD63" s="56" t="s">
        <v>26</v>
      </c>
      <c r="AE63" s="56" t="s">
        <v>26</v>
      </c>
      <c r="AF63" s="56" t="s">
        <v>26</v>
      </c>
      <c r="AG63" s="56">
        <v>3.0300000000000002</v>
      </c>
      <c r="AH63" s="56">
        <v>34580.719999999994</v>
      </c>
      <c r="AI63" s="117">
        <v>0.88916572698932284</v>
      </c>
      <c r="AJ63" s="117">
        <v>0.14653412840003754</v>
      </c>
    </row>
    <row r="64" spans="1:36" s="61" customFormat="1" ht="8.25" customHeight="1" x14ac:dyDescent="0.25">
      <c r="A64" s="144" t="s">
        <v>77</v>
      </c>
      <c r="B64" s="145"/>
      <c r="C64" s="2">
        <v>9502094</v>
      </c>
      <c r="D64" s="2">
        <v>8695657</v>
      </c>
      <c r="E64" s="2">
        <v>298358</v>
      </c>
      <c r="F64" s="2">
        <v>7774</v>
      </c>
      <c r="G64" s="2">
        <v>306132</v>
      </c>
      <c r="H64" s="2">
        <v>62206</v>
      </c>
      <c r="I64" s="2">
        <v>10331</v>
      </c>
      <c r="J64" s="2">
        <v>8491</v>
      </c>
      <c r="K64" s="2">
        <v>72</v>
      </c>
      <c r="L64" s="2">
        <v>11</v>
      </c>
      <c r="M64" s="2">
        <v>64</v>
      </c>
      <c r="N64" s="2">
        <v>168</v>
      </c>
      <c r="O64" s="2">
        <v>526</v>
      </c>
      <c r="P64" s="2">
        <v>9879764</v>
      </c>
      <c r="Q64" s="116">
        <v>1.6474377289115369</v>
      </c>
      <c r="R64" s="116">
        <v>46.728985135239895</v>
      </c>
      <c r="S64" s="56">
        <f t="shared" ref="S64:AH64" si="1">SUM(S63,S62,S58,S52,S47,S43,S39,S36,S30,S23:S27)</f>
        <v>551838.44853857008</v>
      </c>
      <c r="T64" s="56">
        <f t="shared" si="1"/>
        <v>4251043.2493905602</v>
      </c>
      <c r="U64" s="56">
        <f t="shared" si="1"/>
        <v>4802881.6979291299</v>
      </c>
      <c r="V64" s="56">
        <f t="shared" si="1"/>
        <v>720386.57818760001</v>
      </c>
      <c r="W64" s="56">
        <f t="shared" si="1"/>
        <v>158274.89333509997</v>
      </c>
      <c r="X64" s="56">
        <f t="shared" si="1"/>
        <v>878661.47152269993</v>
      </c>
      <c r="Y64" s="56">
        <f t="shared" si="1"/>
        <v>186359.92108449998</v>
      </c>
      <c r="Z64" s="56">
        <f t="shared" si="1"/>
        <v>255816.83425139997</v>
      </c>
      <c r="AA64" s="56">
        <f t="shared" si="1"/>
        <v>442176.75533590006</v>
      </c>
      <c r="AB64" s="56">
        <f t="shared" si="1"/>
        <v>5706684.607576699</v>
      </c>
      <c r="AC64" s="56">
        <f t="shared" si="1"/>
        <v>23348.618003299998</v>
      </c>
      <c r="AD64" s="56">
        <f t="shared" si="1"/>
        <v>83575.410999999993</v>
      </c>
      <c r="AE64" s="56">
        <f t="shared" si="1"/>
        <v>105182.38099999998</v>
      </c>
      <c r="AF64" s="56">
        <f t="shared" si="1"/>
        <v>405765.19368190004</v>
      </c>
      <c r="AG64" s="56">
        <f t="shared" si="1"/>
        <v>357095.65941839997</v>
      </c>
      <c r="AH64" s="56">
        <f t="shared" si="1"/>
        <v>12805371.79546803</v>
      </c>
      <c r="AI64" s="117">
        <v>-7.5406621200620565</v>
      </c>
      <c r="AJ64" s="117">
        <v>54.262503796573533</v>
      </c>
    </row>
    <row r="65" spans="1:36" s="61" customFormat="1" ht="8.25" customHeight="1" x14ac:dyDescent="0.25">
      <c r="A65" s="144" t="s">
        <v>78</v>
      </c>
      <c r="B65" s="145"/>
      <c r="C65" s="2">
        <v>20241767</v>
      </c>
      <c r="D65" s="2">
        <v>16880752</v>
      </c>
      <c r="E65" s="2">
        <v>675901</v>
      </c>
      <c r="F65" s="2">
        <v>11058</v>
      </c>
      <c r="G65" s="2">
        <v>686959</v>
      </c>
      <c r="H65" s="2">
        <v>193992</v>
      </c>
      <c r="I65" s="2">
        <v>21640</v>
      </c>
      <c r="J65" s="2">
        <v>16678</v>
      </c>
      <c r="K65" s="2">
        <v>196</v>
      </c>
      <c r="L65" s="2">
        <v>18</v>
      </c>
      <c r="M65" s="2">
        <v>166</v>
      </c>
      <c r="N65" s="2">
        <v>267</v>
      </c>
      <c r="O65" s="2">
        <v>2646</v>
      </c>
      <c r="P65" s="2">
        <v>21142689</v>
      </c>
      <c r="Q65" s="116">
        <v>1.2400084295290368</v>
      </c>
      <c r="R65" s="116">
        <v>100</v>
      </c>
      <c r="S65" s="56">
        <f t="shared" ref="S65:AH65" si="2">S64+S22</f>
        <v>1489361.8485367701</v>
      </c>
      <c r="T65" s="56">
        <f t="shared" si="2"/>
        <v>8651671.2338344604</v>
      </c>
      <c r="U65" s="56">
        <f t="shared" si="2"/>
        <v>10141033.082371231</v>
      </c>
      <c r="V65" s="56">
        <f t="shared" si="2"/>
        <v>1901947.2372327002</v>
      </c>
      <c r="W65" s="56">
        <f t="shared" si="2"/>
        <v>328647.3764524</v>
      </c>
      <c r="X65" s="56">
        <f t="shared" si="2"/>
        <v>2230594.6136850999</v>
      </c>
      <c r="Y65" s="56">
        <f t="shared" si="2"/>
        <v>538079.670056</v>
      </c>
      <c r="Z65" s="56">
        <f t="shared" si="2"/>
        <v>680833.70901899994</v>
      </c>
      <c r="AA65" s="56">
        <f t="shared" si="2"/>
        <v>1218913.3790750001</v>
      </c>
      <c r="AB65" s="56">
        <f t="shared" si="2"/>
        <v>7614398.7609977983</v>
      </c>
      <c r="AC65" s="56">
        <f t="shared" si="2"/>
        <v>93439.765392899993</v>
      </c>
      <c r="AD65" s="56">
        <f t="shared" si="2"/>
        <v>167124.81324500003</v>
      </c>
      <c r="AE65" s="56">
        <f t="shared" si="2"/>
        <v>269575.10299099999</v>
      </c>
      <c r="AF65" s="56">
        <f t="shared" si="2"/>
        <v>963699.7663719001</v>
      </c>
      <c r="AG65" s="56">
        <f t="shared" si="2"/>
        <v>900225.14136880008</v>
      </c>
      <c r="AH65" s="56">
        <f t="shared" si="2"/>
        <v>23599004.425498731</v>
      </c>
      <c r="AI65" s="117">
        <v>-6.8819734701883126</v>
      </c>
      <c r="AJ65" s="117">
        <v>100</v>
      </c>
    </row>
    <row r="66" spans="1:36" s="61" customFormat="1" ht="7.95" customHeight="1" x14ac:dyDescent="0.25">
      <c r="A66" s="146" t="s">
        <v>79</v>
      </c>
      <c r="B66" s="147"/>
      <c r="C66" s="2">
        <v>95.738848544761737</v>
      </c>
      <c r="D66" s="2">
        <v>79.842029554518817</v>
      </c>
      <c r="E66" s="2">
        <v>3.1968544776872991</v>
      </c>
      <c r="F66" s="2">
        <v>5.2301767291757451E-2</v>
      </c>
      <c r="G66" s="2">
        <v>3.2491562449790559</v>
      </c>
      <c r="H66" s="2">
        <v>0.91753702662892112</v>
      </c>
      <c r="I66" s="2">
        <v>0.10235216532769317</v>
      </c>
      <c r="J66" s="2">
        <v>7.8883059765955041E-2</v>
      </c>
      <c r="K66" s="2">
        <v>9.2703439945600113E-4</v>
      </c>
      <c r="L66" s="2">
        <v>8.5135812194938871E-5</v>
      </c>
      <c r="M66" s="2">
        <v>7.8514137913110297E-4</v>
      </c>
      <c r="N66" s="2">
        <v>1.2628478808915933E-3</v>
      </c>
      <c r="O66" s="2">
        <v>1.2514964392656015E-2</v>
      </c>
      <c r="P66" s="2">
        <v>100</v>
      </c>
      <c r="Q66" s="116" t="s">
        <v>26</v>
      </c>
      <c r="R66" s="116" t="s">
        <v>26</v>
      </c>
      <c r="S66" s="56">
        <v>6.3110987957337024</v>
      </c>
      <c r="T66" s="56">
        <v>36.661398572803698</v>
      </c>
      <c r="U66" s="56">
        <v>42.972497368537404</v>
      </c>
      <c r="V66" s="56">
        <v>8.0594094244062351</v>
      </c>
      <c r="W66" s="56">
        <v>5.6864844578715763</v>
      </c>
      <c r="X66" s="56">
        <v>9.4520367861098507</v>
      </c>
      <c r="Y66" s="56">
        <v>2.2800865760295261</v>
      </c>
      <c r="Z66" s="56">
        <v>2.8849999114091309</v>
      </c>
      <c r="AA66" s="56">
        <v>5.1650864874386571</v>
      </c>
      <c r="AB66" s="56">
        <v>32.265646456555515</v>
      </c>
      <c r="AC66" s="56">
        <v>0.3959464863586587</v>
      </c>
      <c r="AD66" s="56">
        <v>0.70818331263418266</v>
      </c>
      <c r="AE66" s="56">
        <v>1.1423114601181394</v>
      </c>
      <c r="AF66" s="56">
        <v>4.0836311477790579</v>
      </c>
      <c r="AG66" s="56">
        <v>3.8146604944685283</v>
      </c>
      <c r="AH66" s="56">
        <v>100</v>
      </c>
      <c r="AI66" s="117" t="s">
        <v>26</v>
      </c>
      <c r="AJ66" s="117" t="s">
        <v>26</v>
      </c>
    </row>
    <row r="67" spans="1:36" s="61" customFormat="1" ht="8.25" customHeight="1" x14ac:dyDescent="0.25">
      <c r="A67" s="95"/>
      <c r="B67" s="9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118"/>
      <c r="R67" s="118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119"/>
      <c r="AJ67" s="119"/>
    </row>
    <row r="68" spans="1:36" s="61" customFormat="1" ht="8.25" customHeight="1" x14ac:dyDescent="0.25">
      <c r="A68" s="148" t="s">
        <v>80</v>
      </c>
      <c r="B68" s="149"/>
      <c r="C68" s="35">
        <v>1513216</v>
      </c>
      <c r="D68" s="35">
        <v>1045345</v>
      </c>
      <c r="E68" s="36">
        <v>54849</v>
      </c>
      <c r="F68" s="36">
        <v>377</v>
      </c>
      <c r="G68" s="36">
        <v>55226</v>
      </c>
      <c r="H68" s="36">
        <v>22308</v>
      </c>
      <c r="I68" s="36">
        <v>2534</v>
      </c>
      <c r="J68" s="36">
        <v>458</v>
      </c>
      <c r="K68" s="36">
        <v>23</v>
      </c>
      <c r="L68" s="36">
        <v>0</v>
      </c>
      <c r="M68" s="36">
        <v>17</v>
      </c>
      <c r="N68" s="36">
        <v>14</v>
      </c>
      <c r="O68" s="36">
        <v>387</v>
      </c>
      <c r="P68" s="36">
        <v>1591649</v>
      </c>
      <c r="Q68" s="120">
        <v>0.39259212926499554</v>
      </c>
      <c r="R68" s="121">
        <v>7.5318338526726203</v>
      </c>
      <c r="S68" s="56">
        <v>133013</v>
      </c>
      <c r="T68" s="98">
        <v>578577</v>
      </c>
      <c r="U68" s="98">
        <v>711590</v>
      </c>
      <c r="V68" s="98">
        <v>244411</v>
      </c>
      <c r="W68" s="98">
        <v>26497</v>
      </c>
      <c r="X68" s="98">
        <v>270908</v>
      </c>
      <c r="Y68" s="98">
        <v>65758</v>
      </c>
      <c r="Z68" s="98">
        <v>95685</v>
      </c>
      <c r="AA68" s="98">
        <v>161443</v>
      </c>
      <c r="AB68" s="98">
        <v>181333</v>
      </c>
      <c r="AC68" s="98">
        <v>25761</v>
      </c>
      <c r="AD68" s="98">
        <v>0</v>
      </c>
      <c r="AE68" s="98">
        <v>39852</v>
      </c>
      <c r="AF68" s="98">
        <v>93627</v>
      </c>
      <c r="AG68" s="98">
        <v>97818</v>
      </c>
      <c r="AH68" s="98">
        <v>1582332</v>
      </c>
      <c r="AI68" s="122">
        <v>1.0703240716901465</v>
      </c>
      <c r="AJ68" s="123">
        <v>6.5634600882505767</v>
      </c>
    </row>
    <row r="69" spans="1:36" s="61" customFormat="1" ht="8.25" customHeight="1" x14ac:dyDescent="0.25">
      <c r="A69" s="136" t="s">
        <v>81</v>
      </c>
      <c r="B69" s="137"/>
      <c r="C69" s="25">
        <v>1372778</v>
      </c>
      <c r="D69" s="25">
        <v>1213661</v>
      </c>
      <c r="E69" s="3">
        <v>61888</v>
      </c>
      <c r="F69" s="3">
        <v>293</v>
      </c>
      <c r="G69" s="3">
        <v>62181</v>
      </c>
      <c r="H69" s="3">
        <v>13298</v>
      </c>
      <c r="I69" s="3">
        <v>1891</v>
      </c>
      <c r="J69" s="3">
        <v>3543</v>
      </c>
      <c r="K69" s="3">
        <v>19</v>
      </c>
      <c r="L69" s="3">
        <v>0</v>
      </c>
      <c r="M69" s="3">
        <v>10</v>
      </c>
      <c r="N69" s="3">
        <v>10</v>
      </c>
      <c r="O69" s="3">
        <v>171</v>
      </c>
      <c r="P69" s="3">
        <v>1452010</v>
      </c>
      <c r="Q69" s="124">
        <v>1.4452915614261306</v>
      </c>
      <c r="R69" s="125">
        <v>6.8601819630019474</v>
      </c>
      <c r="S69" s="62">
        <v>138955.18898719997</v>
      </c>
      <c r="T69" s="58">
        <v>713236.29630489997</v>
      </c>
      <c r="U69" s="58">
        <v>852191.48529209988</v>
      </c>
      <c r="V69" s="58">
        <v>207009.9792341</v>
      </c>
      <c r="W69" s="58">
        <v>17885.541010299996</v>
      </c>
      <c r="X69" s="58">
        <v>224895.52024439999</v>
      </c>
      <c r="Y69" s="58">
        <v>42698.771325499998</v>
      </c>
      <c r="Z69" s="58">
        <v>87025.801115599999</v>
      </c>
      <c r="AA69" s="58">
        <v>129724.5724411</v>
      </c>
      <c r="AB69" s="58">
        <v>17645.503065099998</v>
      </c>
      <c r="AC69" s="58">
        <v>3416.0384225999996</v>
      </c>
      <c r="AD69" s="58">
        <v>0</v>
      </c>
      <c r="AE69" s="58">
        <v>585.78200000000004</v>
      </c>
      <c r="AF69" s="58">
        <v>43906.906000000003</v>
      </c>
      <c r="AG69" s="58">
        <v>77.6478264</v>
      </c>
      <c r="AH69" s="58">
        <v>1272443.4552917001</v>
      </c>
      <c r="AI69" s="126">
        <v>2.6258920527126364</v>
      </c>
      <c r="AJ69" s="127">
        <v>5.4008985849883446</v>
      </c>
    </row>
    <row r="70" spans="1:36" s="61" customFormat="1" ht="8.25" customHeight="1" x14ac:dyDescent="0.25">
      <c r="A70" s="136" t="s">
        <v>82</v>
      </c>
      <c r="B70" s="137"/>
      <c r="C70" s="25">
        <v>2489053</v>
      </c>
      <c r="D70" s="25">
        <v>1848167</v>
      </c>
      <c r="E70" s="3">
        <v>110030</v>
      </c>
      <c r="F70" s="3">
        <v>812</v>
      </c>
      <c r="G70" s="3">
        <v>110842</v>
      </c>
      <c r="H70" s="3">
        <v>48418</v>
      </c>
      <c r="I70" s="3">
        <v>2629</v>
      </c>
      <c r="J70" s="3">
        <v>507</v>
      </c>
      <c r="K70" s="3">
        <v>30</v>
      </c>
      <c r="L70" s="3">
        <v>0</v>
      </c>
      <c r="M70" s="3">
        <v>8</v>
      </c>
      <c r="N70" s="3">
        <v>20</v>
      </c>
      <c r="O70" s="3">
        <v>309</v>
      </c>
      <c r="P70" s="3">
        <v>2649187</v>
      </c>
      <c r="Q70" s="124">
        <v>1.2499604137363176</v>
      </c>
      <c r="R70" s="125">
        <v>12.55362465047909</v>
      </c>
      <c r="S70" s="62">
        <v>164400</v>
      </c>
      <c r="T70" s="58">
        <v>991095</v>
      </c>
      <c r="U70" s="58">
        <v>1155495</v>
      </c>
      <c r="V70" s="58">
        <v>256490</v>
      </c>
      <c r="W70" s="58">
        <v>29665</v>
      </c>
      <c r="X70" s="58">
        <v>286155</v>
      </c>
      <c r="Y70" s="58">
        <v>56637</v>
      </c>
      <c r="Z70" s="58">
        <v>93702</v>
      </c>
      <c r="AA70" s="58">
        <v>150339</v>
      </c>
      <c r="AB70" s="58">
        <v>67769</v>
      </c>
      <c r="AC70" s="58">
        <v>36569</v>
      </c>
      <c r="AD70" s="58">
        <v>37208</v>
      </c>
      <c r="AE70" s="58">
        <v>42099</v>
      </c>
      <c r="AF70" s="58">
        <v>101313</v>
      </c>
      <c r="AG70" s="58">
        <v>20748</v>
      </c>
      <c r="AH70" s="58">
        <v>1897695</v>
      </c>
      <c r="AI70" s="126">
        <v>4.1747947569678345</v>
      </c>
      <c r="AJ70" s="127">
        <v>8.3154267553900212</v>
      </c>
    </row>
    <row r="71" spans="1:36" s="61" customFormat="1" ht="8.25" customHeight="1" x14ac:dyDescent="0.25">
      <c r="A71" s="136" t="s">
        <v>83</v>
      </c>
      <c r="B71" s="137"/>
      <c r="C71" s="25">
        <v>936153</v>
      </c>
      <c r="D71" s="25">
        <v>774985</v>
      </c>
      <c r="E71" s="3">
        <v>26573</v>
      </c>
      <c r="F71" s="3">
        <v>178</v>
      </c>
      <c r="G71" s="3">
        <v>26751</v>
      </c>
      <c r="H71" s="3">
        <v>4970</v>
      </c>
      <c r="I71" s="3">
        <v>738</v>
      </c>
      <c r="J71" s="3">
        <v>738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968686</v>
      </c>
      <c r="Q71" s="124">
        <v>2.8921312908246892</v>
      </c>
      <c r="R71" s="125">
        <v>4.6561878788441788</v>
      </c>
      <c r="S71" s="62">
        <v>110072.94318</v>
      </c>
      <c r="T71" s="58">
        <v>416367.99089000002</v>
      </c>
      <c r="U71" s="58">
        <v>526440.93406999996</v>
      </c>
      <c r="V71" s="58">
        <v>80170.904769999994</v>
      </c>
      <c r="W71" s="58">
        <v>10207.8475</v>
      </c>
      <c r="X71" s="58">
        <v>90378.752269999997</v>
      </c>
      <c r="Y71" s="58">
        <v>21124.524399999998</v>
      </c>
      <c r="Z71" s="58">
        <v>18089.34087</v>
      </c>
      <c r="AA71" s="58">
        <v>39213.865269999995</v>
      </c>
      <c r="AB71" s="58">
        <v>57024.219430000005</v>
      </c>
      <c r="AC71" s="58">
        <v>758.26400000000001</v>
      </c>
      <c r="AD71" s="58">
        <v>30817.415000000001</v>
      </c>
      <c r="AE71" s="58">
        <v>32333.683000000001</v>
      </c>
      <c r="AF71" s="58">
        <v>71031.309000000008</v>
      </c>
      <c r="AG71" s="58">
        <v>23.56119</v>
      </c>
      <c r="AH71" s="58">
        <v>848022.00323000003</v>
      </c>
      <c r="AI71" s="126">
        <v>2.746273147253353</v>
      </c>
      <c r="AJ71" s="127">
        <v>3.7790970181226986</v>
      </c>
    </row>
    <row r="72" spans="1:36" s="61" customFormat="1" ht="8.25" customHeight="1" x14ac:dyDescent="0.25">
      <c r="A72" s="142" t="s">
        <v>84</v>
      </c>
      <c r="B72" s="143"/>
      <c r="C72" s="25">
        <v>3234568</v>
      </c>
      <c r="D72" s="25">
        <v>2295993</v>
      </c>
      <c r="E72" s="3">
        <v>90995</v>
      </c>
      <c r="F72" s="3">
        <v>1208</v>
      </c>
      <c r="G72" s="3">
        <v>92203</v>
      </c>
      <c r="H72" s="3">
        <v>27846</v>
      </c>
      <c r="I72" s="3">
        <v>2484</v>
      </c>
      <c r="J72" s="3">
        <v>2428</v>
      </c>
      <c r="K72" s="3">
        <v>35</v>
      </c>
      <c r="L72" s="3">
        <v>4</v>
      </c>
      <c r="M72" s="3">
        <v>46</v>
      </c>
      <c r="N72" s="3">
        <v>26</v>
      </c>
      <c r="O72" s="3">
        <v>1175</v>
      </c>
      <c r="P72" s="3">
        <v>3358331</v>
      </c>
      <c r="Q72" s="124">
        <v>1.2496818829262595</v>
      </c>
      <c r="R72" s="125">
        <v>16.021664095428822</v>
      </c>
      <c r="S72" s="62">
        <v>268168.26783100003</v>
      </c>
      <c r="T72" s="58">
        <v>1195097.697249</v>
      </c>
      <c r="U72" s="58">
        <v>1463265.96508</v>
      </c>
      <c r="V72" s="58">
        <v>290269.77504100004</v>
      </c>
      <c r="W72" s="58">
        <v>70310.094607000006</v>
      </c>
      <c r="X72" s="58">
        <v>360579.86964800005</v>
      </c>
      <c r="Y72" s="58">
        <v>133594.45324600002</v>
      </c>
      <c r="Z72" s="58">
        <v>98671.732781999992</v>
      </c>
      <c r="AA72" s="58">
        <v>232266.18602800003</v>
      </c>
      <c r="AB72" s="58">
        <v>1416025.4309259998</v>
      </c>
      <c r="AC72" s="58">
        <v>1900.8449669999998</v>
      </c>
      <c r="AD72" s="58">
        <v>15523.987245</v>
      </c>
      <c r="AE72" s="58">
        <v>45596.256990999995</v>
      </c>
      <c r="AF72" s="58">
        <v>172612.35769</v>
      </c>
      <c r="AG72" s="58">
        <v>287100.27293400001</v>
      </c>
      <c r="AH72" s="58">
        <v>3994871.1715089995</v>
      </c>
      <c r="AI72" s="126">
        <v>2.933355192880899</v>
      </c>
      <c r="AJ72" s="127">
        <v>16.627219054344735</v>
      </c>
    </row>
    <row r="73" spans="1:36" s="61" customFormat="1" ht="8.25" customHeight="1" x14ac:dyDescent="0.25">
      <c r="A73" s="142" t="s">
        <v>85</v>
      </c>
      <c r="B73" s="143"/>
      <c r="C73" s="25">
        <v>795636</v>
      </c>
      <c r="D73" s="25">
        <v>638442</v>
      </c>
      <c r="E73" s="3">
        <v>21930</v>
      </c>
      <c r="F73" s="3">
        <v>373</v>
      </c>
      <c r="G73" s="3">
        <v>22303</v>
      </c>
      <c r="H73" s="3">
        <v>9515</v>
      </c>
      <c r="I73" s="3">
        <v>669</v>
      </c>
      <c r="J73" s="3">
        <v>448</v>
      </c>
      <c r="K73" s="3">
        <v>1</v>
      </c>
      <c r="L73" s="3">
        <v>0</v>
      </c>
      <c r="M73" s="3">
        <v>1</v>
      </c>
      <c r="N73" s="3">
        <v>12</v>
      </c>
      <c r="O73" s="3">
        <v>26</v>
      </c>
      <c r="P73" s="3">
        <v>827942</v>
      </c>
      <c r="Q73" s="124">
        <v>2.6551012650664441</v>
      </c>
      <c r="R73" s="125">
        <v>3.8665964743794481</v>
      </c>
      <c r="S73" s="62">
        <v>84380</v>
      </c>
      <c r="T73" s="58">
        <v>326659</v>
      </c>
      <c r="U73" s="58">
        <v>411039</v>
      </c>
      <c r="V73" s="58">
        <v>72267</v>
      </c>
      <c r="W73" s="58">
        <v>14336</v>
      </c>
      <c r="X73" s="58">
        <v>86603</v>
      </c>
      <c r="Y73" s="58">
        <v>17428</v>
      </c>
      <c r="Z73" s="58">
        <v>21565</v>
      </c>
      <c r="AA73" s="58">
        <v>38993</v>
      </c>
      <c r="AB73" s="58">
        <v>166018</v>
      </c>
      <c r="AC73" s="58">
        <v>669</v>
      </c>
      <c r="AD73" s="58">
        <v>0</v>
      </c>
      <c r="AE73" s="58">
        <v>1519</v>
      </c>
      <c r="AF73" s="58">
        <v>48376</v>
      </c>
      <c r="AG73" s="58">
        <v>136902</v>
      </c>
      <c r="AH73" s="58">
        <v>890119</v>
      </c>
      <c r="AI73" s="126">
        <v>3.8564072282670043</v>
      </c>
      <c r="AJ73" s="127">
        <v>3.3015578971613375</v>
      </c>
    </row>
    <row r="74" spans="1:36" s="61" customFormat="1" ht="8.25" customHeight="1" x14ac:dyDescent="0.25">
      <c r="A74" s="142" t="s">
        <v>86</v>
      </c>
      <c r="B74" s="143"/>
      <c r="C74" s="25">
        <v>1190819</v>
      </c>
      <c r="D74" s="25">
        <v>1058008</v>
      </c>
      <c r="E74" s="3">
        <v>21820</v>
      </c>
      <c r="F74" s="3">
        <v>1056</v>
      </c>
      <c r="G74" s="3">
        <v>22876</v>
      </c>
      <c r="H74" s="3">
        <v>7617</v>
      </c>
      <c r="I74" s="3">
        <v>1064</v>
      </c>
      <c r="J74" s="3">
        <v>1176</v>
      </c>
      <c r="K74" s="3">
        <v>16</v>
      </c>
      <c r="L74" s="3">
        <v>1</v>
      </c>
      <c r="M74" s="3">
        <v>31</v>
      </c>
      <c r="N74" s="3">
        <v>12</v>
      </c>
      <c r="O74" s="3">
        <v>58</v>
      </c>
      <c r="P74" s="3">
        <v>1222606</v>
      </c>
      <c r="Q74" s="124">
        <v>0.82782959751043217</v>
      </c>
      <c r="R74" s="125">
        <v>5.7978165244225774</v>
      </c>
      <c r="S74" s="62">
        <v>6511.5314337999989</v>
      </c>
      <c r="T74" s="58">
        <v>602275.77350710006</v>
      </c>
      <c r="U74" s="58">
        <v>608787.30494090007</v>
      </c>
      <c r="V74" s="58">
        <v>56408.286597600003</v>
      </c>
      <c r="W74" s="58">
        <v>26002.376938100002</v>
      </c>
      <c r="X74" s="58">
        <v>82410.663535700005</v>
      </c>
      <c r="Y74" s="58">
        <v>18687.740643999998</v>
      </c>
      <c r="Z74" s="58">
        <v>33018.221688099999</v>
      </c>
      <c r="AA74" s="58">
        <v>51705.962332099996</v>
      </c>
      <c r="AB74" s="58">
        <v>233153.3990179</v>
      </c>
      <c r="AC74" s="58">
        <v>4834.5680000000002</v>
      </c>
      <c r="AD74" s="58">
        <v>52.884</v>
      </c>
      <c r="AE74" s="58">
        <v>9597.5030000000006</v>
      </c>
      <c r="AF74" s="58">
        <v>76875.108809999991</v>
      </c>
      <c r="AG74" s="58">
        <v>2423.6627561000005</v>
      </c>
      <c r="AH74" s="58">
        <v>1069841.0563926999</v>
      </c>
      <c r="AI74" s="126">
        <v>-3.1569771646046831</v>
      </c>
      <c r="AJ74" s="127">
        <v>4.4412009287946264</v>
      </c>
    </row>
    <row r="75" spans="1:36" s="61" customFormat="1" ht="8.25" customHeight="1" x14ac:dyDescent="0.25">
      <c r="A75" s="136" t="s">
        <v>87</v>
      </c>
      <c r="B75" s="137"/>
      <c r="C75" s="25">
        <v>755574</v>
      </c>
      <c r="D75" s="25">
        <v>703332</v>
      </c>
      <c r="E75" s="3">
        <v>21272</v>
      </c>
      <c r="F75" s="3">
        <v>174</v>
      </c>
      <c r="G75" s="3">
        <v>21446</v>
      </c>
      <c r="H75" s="3">
        <v>6522</v>
      </c>
      <c r="I75" s="3">
        <v>743</v>
      </c>
      <c r="J75" s="3">
        <v>981</v>
      </c>
      <c r="K75" s="3">
        <v>4</v>
      </c>
      <c r="L75" s="3">
        <v>0</v>
      </c>
      <c r="M75" s="3">
        <v>3</v>
      </c>
      <c r="N75" s="3">
        <v>8</v>
      </c>
      <c r="O75" s="3">
        <v>94</v>
      </c>
      <c r="P75" s="3">
        <v>784632</v>
      </c>
      <c r="Q75" s="124">
        <v>2.2361547050472002</v>
      </c>
      <c r="R75" s="125">
        <v>3.7136438157699541</v>
      </c>
      <c r="S75" s="62">
        <v>85949</v>
      </c>
      <c r="T75" s="58">
        <v>292354</v>
      </c>
      <c r="U75" s="58">
        <v>378303</v>
      </c>
      <c r="V75" s="58">
        <v>62508</v>
      </c>
      <c r="W75" s="58">
        <v>6938</v>
      </c>
      <c r="X75" s="58">
        <v>69446</v>
      </c>
      <c r="Y75" s="58">
        <v>13618</v>
      </c>
      <c r="Z75" s="58">
        <v>20869</v>
      </c>
      <c r="AA75" s="58">
        <v>34487</v>
      </c>
      <c r="AB75" s="58">
        <v>213162</v>
      </c>
      <c r="AC75" s="58">
        <v>2633</v>
      </c>
      <c r="AD75" s="58">
        <v>0</v>
      </c>
      <c r="AE75" s="58">
        <v>7026</v>
      </c>
      <c r="AF75" s="58">
        <v>37765</v>
      </c>
      <c r="AG75" s="58">
        <v>14240</v>
      </c>
      <c r="AH75" s="58">
        <v>757062</v>
      </c>
      <c r="AI75" s="126">
        <v>1.4486093051756865</v>
      </c>
      <c r="AJ75" s="127">
        <v>3.2158890622507341</v>
      </c>
    </row>
    <row r="76" spans="1:36" s="61" customFormat="1" ht="8.25" customHeight="1" x14ac:dyDescent="0.25">
      <c r="A76" s="136" t="s">
        <v>88</v>
      </c>
      <c r="B76" s="137"/>
      <c r="C76" s="25">
        <v>662443</v>
      </c>
      <c r="D76" s="25">
        <v>578309</v>
      </c>
      <c r="E76" s="3">
        <v>20773</v>
      </c>
      <c r="F76" s="3">
        <v>149</v>
      </c>
      <c r="G76" s="3">
        <v>20922</v>
      </c>
      <c r="H76" s="3">
        <v>6258</v>
      </c>
      <c r="I76" s="3">
        <v>1230</v>
      </c>
      <c r="J76" s="3">
        <v>182</v>
      </c>
      <c r="K76" s="3">
        <v>8</v>
      </c>
      <c r="L76" s="3">
        <v>2</v>
      </c>
      <c r="M76" s="3">
        <v>1</v>
      </c>
      <c r="N76" s="3">
        <v>5</v>
      </c>
      <c r="O76" s="3">
        <v>61</v>
      </c>
      <c r="P76" s="3">
        <v>689882</v>
      </c>
      <c r="Q76" s="124">
        <v>1.5110738225293279</v>
      </c>
      <c r="R76" s="125">
        <v>3.2907758274848007</v>
      </c>
      <c r="S76" s="62">
        <v>52439</v>
      </c>
      <c r="T76" s="58">
        <v>303763</v>
      </c>
      <c r="U76" s="58">
        <v>356202</v>
      </c>
      <c r="V76" s="58">
        <v>68555</v>
      </c>
      <c r="W76" s="58">
        <v>6237</v>
      </c>
      <c r="X76" s="58">
        <v>74792</v>
      </c>
      <c r="Y76" s="58">
        <v>29803</v>
      </c>
      <c r="Z76" s="58">
        <v>41434</v>
      </c>
      <c r="AA76" s="58">
        <v>71237</v>
      </c>
      <c r="AB76" s="58">
        <v>80660</v>
      </c>
      <c r="AC76" s="58">
        <v>294</v>
      </c>
      <c r="AD76" s="58">
        <v>34258</v>
      </c>
      <c r="AE76" s="58">
        <v>920</v>
      </c>
      <c r="AF76" s="58">
        <v>31506</v>
      </c>
      <c r="AG76" s="58">
        <v>11937</v>
      </c>
      <c r="AH76" s="58">
        <v>661806</v>
      </c>
      <c r="AI76" s="126">
        <v>3.20122223587087</v>
      </c>
      <c r="AJ76" s="127">
        <v>2.9240864022331015</v>
      </c>
    </row>
    <row r="77" spans="1:36" s="61" customFormat="1" ht="8.25" customHeight="1" x14ac:dyDescent="0.25">
      <c r="A77" s="136" t="s">
        <v>89</v>
      </c>
      <c r="B77" s="137"/>
      <c r="C77" s="25">
        <v>611249</v>
      </c>
      <c r="D77" s="25">
        <v>566104</v>
      </c>
      <c r="E77" s="3">
        <v>23079</v>
      </c>
      <c r="F77" s="3">
        <v>237</v>
      </c>
      <c r="G77" s="3">
        <v>23316</v>
      </c>
      <c r="H77" s="3">
        <v>3473</v>
      </c>
      <c r="I77" s="3">
        <v>441</v>
      </c>
      <c r="J77" s="3">
        <v>558</v>
      </c>
      <c r="K77" s="3">
        <v>2</v>
      </c>
      <c r="L77" s="3">
        <v>2</v>
      </c>
      <c r="M77" s="3">
        <v>1</v>
      </c>
      <c r="N77" s="3">
        <v>8</v>
      </c>
      <c r="O77" s="3">
        <v>21</v>
      </c>
      <c r="P77" s="3">
        <v>638630</v>
      </c>
      <c r="Q77" s="124">
        <v>1.3391639689817028</v>
      </c>
      <c r="R77" s="125">
        <v>3.0249689876058641</v>
      </c>
      <c r="S77" s="62">
        <v>2026.9008400000002</v>
      </c>
      <c r="T77" s="58">
        <v>324797.52653999999</v>
      </c>
      <c r="U77" s="58">
        <v>326824.42738000001</v>
      </c>
      <c r="V77" s="58">
        <v>63263.203910000011</v>
      </c>
      <c r="W77" s="58">
        <v>12228.484990000001</v>
      </c>
      <c r="X77" s="58">
        <v>75491.688900000008</v>
      </c>
      <c r="Y77" s="58">
        <v>8729.6875</v>
      </c>
      <c r="Z77" s="58">
        <v>12555.975199999997</v>
      </c>
      <c r="AA77" s="58">
        <v>21285.662699999997</v>
      </c>
      <c r="AB77" s="58">
        <v>1301999.06859</v>
      </c>
      <c r="AC77" s="58">
        <v>322.05399999999997</v>
      </c>
      <c r="AD77" s="58">
        <v>17364.415000000001</v>
      </c>
      <c r="AE77" s="58">
        <v>16194.009999999997</v>
      </c>
      <c r="AF77" s="58">
        <v>35924.911090000001</v>
      </c>
      <c r="AG77" s="58">
        <v>38116.340940000002</v>
      </c>
      <c r="AH77" s="58">
        <v>1833522.5786000001</v>
      </c>
      <c r="AI77" s="126">
        <v>-3.1822114043172722</v>
      </c>
      <c r="AJ77" s="127">
        <v>8.9023735168243618</v>
      </c>
    </row>
    <row r="78" spans="1:36" s="61" customFormat="1" ht="8.25" customHeight="1" x14ac:dyDescent="0.25">
      <c r="A78" s="136" t="s">
        <v>90</v>
      </c>
      <c r="B78" s="137"/>
      <c r="C78" s="25">
        <v>468633</v>
      </c>
      <c r="D78" s="25">
        <v>395569</v>
      </c>
      <c r="E78" s="3">
        <v>9620</v>
      </c>
      <c r="F78" s="3">
        <v>369</v>
      </c>
      <c r="G78" s="3">
        <v>9989</v>
      </c>
      <c r="H78" s="3">
        <v>6549</v>
      </c>
      <c r="I78" s="3">
        <v>597</v>
      </c>
      <c r="J78" s="3">
        <v>513</v>
      </c>
      <c r="K78" s="3">
        <v>2</v>
      </c>
      <c r="L78" s="3">
        <v>0</v>
      </c>
      <c r="M78" s="3">
        <v>4</v>
      </c>
      <c r="N78" s="3">
        <v>3</v>
      </c>
      <c r="O78" s="3">
        <v>33</v>
      </c>
      <c r="P78" s="3">
        <v>485726</v>
      </c>
      <c r="Q78" s="124">
        <v>2.4863719807492766</v>
      </c>
      <c r="R78" s="125">
        <v>2.2749589079193582</v>
      </c>
      <c r="S78" s="62">
        <v>4564.5420000000004</v>
      </c>
      <c r="T78" s="58">
        <v>227732.492</v>
      </c>
      <c r="U78" s="58">
        <v>232297.03399999999</v>
      </c>
      <c r="V78" s="58">
        <v>29106.525999999998</v>
      </c>
      <c r="W78" s="58">
        <v>6054.5790000000006</v>
      </c>
      <c r="X78" s="58">
        <v>35161.104999999996</v>
      </c>
      <c r="Y78" s="58">
        <v>11794.009999999998</v>
      </c>
      <c r="Z78" s="58">
        <v>14246.320999999998</v>
      </c>
      <c r="AA78" s="58">
        <v>26040.330999999998</v>
      </c>
      <c r="AB78" s="58">
        <v>482387.65500000003</v>
      </c>
      <c r="AC78" s="58">
        <v>0</v>
      </c>
      <c r="AD78" s="58">
        <v>0</v>
      </c>
      <c r="AE78" s="58">
        <v>943.75800000000004</v>
      </c>
      <c r="AF78" s="58">
        <v>17391.087</v>
      </c>
      <c r="AG78" s="58">
        <v>56062.636999999988</v>
      </c>
      <c r="AH78" s="58">
        <v>850283.60700000008</v>
      </c>
      <c r="AI78" s="126">
        <v>5.489297319589201</v>
      </c>
      <c r="AJ78" s="127">
        <v>3.4422963513544707</v>
      </c>
    </row>
    <row r="79" spans="1:36" s="61" customFormat="1" ht="8.25" customHeight="1" x14ac:dyDescent="0.25">
      <c r="A79" s="138" t="s">
        <v>91</v>
      </c>
      <c r="B79" s="139"/>
      <c r="C79" s="39">
        <v>661696</v>
      </c>
      <c r="D79" s="39">
        <v>553884</v>
      </c>
      <c r="E79" s="40">
        <v>11617</v>
      </c>
      <c r="F79" s="40">
        <v>3728</v>
      </c>
      <c r="G79" s="40">
        <v>15345</v>
      </c>
      <c r="H79" s="40">
        <v>5075</v>
      </c>
      <c r="I79" s="40">
        <v>848</v>
      </c>
      <c r="J79" s="40">
        <v>549</v>
      </c>
      <c r="K79" s="40">
        <v>3</v>
      </c>
      <c r="L79" s="40">
        <v>0</v>
      </c>
      <c r="M79" s="40">
        <v>7</v>
      </c>
      <c r="N79" s="40">
        <v>3</v>
      </c>
      <c r="O79" s="40">
        <v>111</v>
      </c>
      <c r="P79" s="40">
        <v>682789</v>
      </c>
      <c r="Q79" s="128">
        <v>3.1273795447369883</v>
      </c>
      <c r="R79" s="129">
        <v>3.1907307490198282</v>
      </c>
      <c r="S79" s="101">
        <v>68959</v>
      </c>
      <c r="T79" s="102">
        <v>257993</v>
      </c>
      <c r="U79" s="102">
        <v>326952</v>
      </c>
      <c r="V79" s="102">
        <v>29732</v>
      </c>
      <c r="W79" s="102">
        <v>26995</v>
      </c>
      <c r="X79" s="102">
        <v>56727</v>
      </c>
      <c r="Y79" s="102">
        <v>14139</v>
      </c>
      <c r="Z79" s="102">
        <v>17235</v>
      </c>
      <c r="AA79" s="102">
        <v>31374</v>
      </c>
      <c r="AB79" s="102">
        <v>487835</v>
      </c>
      <c r="AC79" s="102">
        <v>7814</v>
      </c>
      <c r="AD79" s="102">
        <v>0</v>
      </c>
      <c r="AE79" s="102">
        <v>6465</v>
      </c>
      <c r="AF79" s="102">
        <v>16760</v>
      </c>
      <c r="AG79" s="102">
        <v>9420</v>
      </c>
      <c r="AH79" s="102">
        <v>943347</v>
      </c>
      <c r="AI79" s="130">
        <v>1.8038992498015132</v>
      </c>
      <c r="AJ79" s="131">
        <v>3.9760298837724544</v>
      </c>
    </row>
    <row r="80" spans="1:36" s="105" customFormat="1" ht="9.6" customHeight="1" x14ac:dyDescent="0.25">
      <c r="A80" s="103" t="s">
        <v>92</v>
      </c>
      <c r="B80" s="95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32"/>
      <c r="R80" s="132"/>
      <c r="S80" s="4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32"/>
      <c r="AJ80" s="132"/>
    </row>
    <row r="81" spans="1:36" s="105" customFormat="1" ht="9.6" customHeight="1" x14ac:dyDescent="0.25">
      <c r="A81" s="103"/>
      <c r="B81" s="95"/>
      <c r="C81" s="104"/>
      <c r="D81" s="104"/>
      <c r="E81" s="104"/>
      <c r="F81" s="104"/>
      <c r="G81" s="44"/>
      <c r="H81" s="104"/>
      <c r="I81" s="104"/>
      <c r="J81" s="104"/>
      <c r="K81" s="104"/>
      <c r="L81" s="104"/>
      <c r="M81" s="104"/>
      <c r="N81" s="104"/>
      <c r="O81" s="104"/>
      <c r="P81" s="104"/>
      <c r="Q81" s="132"/>
      <c r="R81" s="132"/>
      <c r="S81" s="4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32"/>
      <c r="AJ81" s="132"/>
    </row>
    <row r="82" spans="1:36" ht="9" customHeight="1" x14ac:dyDescent="0.25">
      <c r="A82" s="140"/>
      <c r="B82" s="1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133"/>
      <c r="R82" s="133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175"/>
      <c r="AJ82" s="175"/>
    </row>
    <row r="83" spans="1:36" s="61" customFormat="1" ht="11.25" customHeight="1" x14ac:dyDescent="0.2">
      <c r="A83" s="95"/>
      <c r="B83" s="95"/>
      <c r="C83" s="108"/>
      <c r="D83" s="108"/>
      <c r="E83" s="108"/>
      <c r="F83" s="108"/>
      <c r="G83" s="108"/>
      <c r="H83" s="109"/>
      <c r="I83" s="108"/>
      <c r="J83" s="108"/>
      <c r="K83" s="108"/>
      <c r="L83" s="108"/>
      <c r="M83" s="108"/>
      <c r="N83" s="108"/>
      <c r="O83" s="108"/>
      <c r="P83" s="108"/>
      <c r="Q83" s="134"/>
      <c r="R83" s="134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34"/>
      <c r="AJ83" s="134"/>
    </row>
    <row r="84" spans="1:36" ht="11.25" customHeight="1" x14ac:dyDescent="0.25">
      <c r="A84" s="140"/>
      <c r="B84" s="140"/>
      <c r="C84" s="41"/>
      <c r="D84" s="42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133"/>
      <c r="R84" s="133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175"/>
      <c r="AJ84" s="175"/>
    </row>
    <row r="85" spans="1:36" ht="11.25" customHeight="1" x14ac:dyDescent="0.2">
      <c r="A85" s="108"/>
      <c r="B85" s="95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34"/>
      <c r="R85" s="134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34"/>
      <c r="AJ85" s="134"/>
    </row>
    <row r="86" spans="1:36" ht="11.25" customHeight="1" x14ac:dyDescent="0.2">
      <c r="A86" s="108"/>
      <c r="B86" s="95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34"/>
      <c r="R86" s="134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34"/>
      <c r="AJ86" s="134"/>
    </row>
    <row r="87" spans="1:36" ht="11.25" customHeight="1" x14ac:dyDescent="0.2">
      <c r="A87" s="108"/>
      <c r="B87" s="95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34"/>
      <c r="R87" s="134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34"/>
      <c r="AJ87" s="134"/>
    </row>
    <row r="88" spans="1:36" ht="11.25" customHeight="1" x14ac:dyDescent="0.2">
      <c r="A88" s="108"/>
      <c r="B88" s="95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34"/>
      <c r="R88" s="134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34"/>
      <c r="AJ88" s="134"/>
    </row>
    <row r="89" spans="1:36" ht="11.25" customHeight="1" x14ac:dyDescent="0.2">
      <c r="A89" s="108"/>
      <c r="B89" s="95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34"/>
      <c r="R89" s="134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34"/>
      <c r="AJ89" s="134"/>
    </row>
    <row r="90" spans="1:36" ht="11.25" customHeight="1" x14ac:dyDescent="0.2">
      <c r="A90" s="108"/>
      <c r="B90" s="95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34"/>
      <c r="R90" s="134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34"/>
      <c r="AJ90" s="134"/>
    </row>
    <row r="91" spans="1:36" ht="11.25" customHeight="1" x14ac:dyDescent="0.2">
      <c r="A91" s="108"/>
      <c r="B91" s="95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34"/>
      <c r="R91" s="134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34"/>
      <c r="AJ91" s="134"/>
    </row>
    <row r="92" spans="1:36" ht="11.25" customHeight="1" x14ac:dyDescent="0.2">
      <c r="A92" s="108"/>
      <c r="B92" s="95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34"/>
      <c r="R92" s="134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34"/>
      <c r="AJ92" s="134"/>
    </row>
    <row r="93" spans="1:36" ht="11.25" customHeight="1" x14ac:dyDescent="0.2">
      <c r="A93" s="108"/>
      <c r="B93" s="95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34"/>
      <c r="R93" s="134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34"/>
      <c r="AJ93" s="134"/>
    </row>
    <row r="94" spans="1:36" ht="11.25" customHeight="1" x14ac:dyDescent="0.2">
      <c r="A94" s="108"/>
      <c r="B94" s="95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34"/>
      <c r="R94" s="134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34"/>
      <c r="AJ94" s="134"/>
    </row>
    <row r="95" spans="1:36" ht="11.25" customHeight="1" x14ac:dyDescent="0.2">
      <c r="A95" s="108"/>
      <c r="B95" s="95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34"/>
      <c r="R95" s="134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34"/>
      <c r="AJ95" s="134"/>
    </row>
    <row r="96" spans="1:36" ht="11.25" customHeight="1" x14ac:dyDescent="0.2">
      <c r="A96" s="108"/>
      <c r="B96" s="95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34"/>
      <c r="R96" s="134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34"/>
      <c r="AJ96" s="134"/>
    </row>
    <row r="97" spans="2:2" ht="11.25" customHeight="1" x14ac:dyDescent="0.25">
      <c r="B97" s="95"/>
    </row>
    <row r="98" spans="2:2" ht="11.25" customHeight="1" x14ac:dyDescent="0.25">
      <c r="B98" s="95"/>
    </row>
    <row r="99" spans="2:2" ht="11.25" customHeight="1" x14ac:dyDescent="0.25">
      <c r="B99" s="95"/>
    </row>
    <row r="100" spans="2:2" ht="11.25" customHeight="1" x14ac:dyDescent="0.25">
      <c r="B100" s="95"/>
    </row>
    <row r="101" spans="2:2" ht="11.25" customHeight="1" x14ac:dyDescent="0.25">
      <c r="B101" s="95"/>
    </row>
    <row r="102" spans="2:2" ht="11.25" customHeight="1" x14ac:dyDescent="0.25">
      <c r="B102" s="95"/>
    </row>
    <row r="103" spans="2:2" ht="11.25" customHeight="1" x14ac:dyDescent="0.25">
      <c r="B103" s="95"/>
    </row>
    <row r="104" spans="2:2" ht="11.25" customHeight="1" x14ac:dyDescent="0.25">
      <c r="B104" s="95"/>
    </row>
    <row r="105" spans="2:2" ht="11.25" customHeight="1" x14ac:dyDescent="0.25">
      <c r="B105" s="95"/>
    </row>
    <row r="106" spans="2:2" ht="11.25" customHeight="1" x14ac:dyDescent="0.25">
      <c r="B106" s="95"/>
    </row>
    <row r="107" spans="2:2" ht="11.25" customHeight="1" x14ac:dyDescent="0.25">
      <c r="B107" s="95"/>
    </row>
    <row r="108" spans="2:2" ht="11.25" customHeight="1" x14ac:dyDescent="0.25">
      <c r="B108" s="95"/>
    </row>
    <row r="109" spans="2:2" ht="11.25" customHeight="1" x14ac:dyDescent="0.25">
      <c r="B109" s="95"/>
    </row>
    <row r="110" spans="2:2" ht="11.25" customHeight="1" x14ac:dyDescent="0.25">
      <c r="B110" s="95"/>
    </row>
    <row r="111" spans="2:2" ht="11.25" customHeight="1" x14ac:dyDescent="0.25">
      <c r="B111" s="110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022C-DBC2-4821-8584-DD8DE94207AC}">
  <sheetPr>
    <tabColor rgb="FF7030A0"/>
    <pageSetUpPr fitToPage="1"/>
  </sheetPr>
  <dimension ref="A1:AM111"/>
  <sheetViews>
    <sheetView showZeros="0" zoomScale="145" zoomScaleNormal="145" workbookViewId="0">
      <selection activeCell="I37" sqref="I37"/>
    </sheetView>
  </sheetViews>
  <sheetFormatPr defaultColWidth="6.69921875" defaultRowHeight="11.25" customHeight="1" x14ac:dyDescent="0.25"/>
  <cols>
    <col min="1" max="1" width="3.59765625" style="111" customWidth="1"/>
    <col min="2" max="2" width="5.296875" style="112" customWidth="1"/>
    <col min="3" max="4" width="5.296875" style="107" customWidth="1"/>
    <col min="5" max="10" width="4.09765625" style="107" customWidth="1"/>
    <col min="11" max="13" width="3.09765625" style="107" bestFit="1" customWidth="1"/>
    <col min="14" max="14" width="3.09765625" style="107" customWidth="1"/>
    <col min="15" max="15" width="3.296875" style="107" bestFit="1" customWidth="1"/>
    <col min="16" max="16" width="5.296875" style="107" bestFit="1" customWidth="1"/>
    <col min="17" max="18" width="3.296875" style="107" customWidth="1"/>
    <col min="19" max="21" width="4.59765625" style="107" customWidth="1"/>
    <col min="22" max="23" width="3.796875" style="107" customWidth="1"/>
    <col min="24" max="24" width="4.296875" style="107" customWidth="1"/>
    <col min="25" max="26" width="3.796875" style="107" customWidth="1"/>
    <col min="27" max="28" width="4.59765625" style="107" customWidth="1"/>
    <col min="29" max="31" width="3.59765625" style="107" customWidth="1"/>
    <col min="32" max="32" width="5.09765625" style="107" customWidth="1"/>
    <col min="33" max="33" width="4" style="107" customWidth="1"/>
    <col min="34" max="34" width="4.69921875" style="107" customWidth="1"/>
    <col min="35" max="36" width="3.296875" style="107" customWidth="1"/>
    <col min="37" max="37" width="6.69921875" style="107"/>
    <col min="38" max="39" width="2.59765625" style="107" customWidth="1"/>
    <col min="40" max="256" width="6.69921875" style="107"/>
    <col min="257" max="257" width="3.59765625" style="107" customWidth="1"/>
    <col min="258" max="260" width="5.296875" style="107" customWidth="1"/>
    <col min="261" max="266" width="4.09765625" style="107" customWidth="1"/>
    <col min="267" max="269" width="3.09765625" style="107" bestFit="1" customWidth="1"/>
    <col min="270" max="270" width="3.09765625" style="107" customWidth="1"/>
    <col min="271" max="271" width="3.296875" style="107" bestFit="1" customWidth="1"/>
    <col min="272" max="272" width="5.296875" style="107" bestFit="1" customWidth="1"/>
    <col min="273" max="274" width="3.296875" style="107" customWidth="1"/>
    <col min="275" max="277" width="4.59765625" style="107" customWidth="1"/>
    <col min="278" max="279" width="3.796875" style="107" customWidth="1"/>
    <col min="280" max="280" width="4.296875" style="107" customWidth="1"/>
    <col min="281" max="282" width="3.796875" style="107" customWidth="1"/>
    <col min="283" max="284" width="4.59765625" style="107" customWidth="1"/>
    <col min="285" max="287" width="3.59765625" style="107" customWidth="1"/>
    <col min="288" max="288" width="5.09765625" style="107" customWidth="1"/>
    <col min="289" max="289" width="4" style="107" customWidth="1"/>
    <col min="290" max="290" width="4.69921875" style="107" customWidth="1"/>
    <col min="291" max="292" width="3.296875" style="107" customWidth="1"/>
    <col min="293" max="293" width="6.69921875" style="107"/>
    <col min="294" max="295" width="2.59765625" style="107" customWidth="1"/>
    <col min="296" max="512" width="6.69921875" style="107"/>
    <col min="513" max="513" width="3.59765625" style="107" customWidth="1"/>
    <col min="514" max="516" width="5.296875" style="107" customWidth="1"/>
    <col min="517" max="522" width="4.09765625" style="107" customWidth="1"/>
    <col min="523" max="525" width="3.09765625" style="107" bestFit="1" customWidth="1"/>
    <col min="526" max="526" width="3.09765625" style="107" customWidth="1"/>
    <col min="527" max="527" width="3.296875" style="107" bestFit="1" customWidth="1"/>
    <col min="528" max="528" width="5.296875" style="107" bestFit="1" customWidth="1"/>
    <col min="529" max="530" width="3.296875" style="107" customWidth="1"/>
    <col min="531" max="533" width="4.59765625" style="107" customWidth="1"/>
    <col min="534" max="535" width="3.796875" style="107" customWidth="1"/>
    <col min="536" max="536" width="4.296875" style="107" customWidth="1"/>
    <col min="537" max="538" width="3.796875" style="107" customWidth="1"/>
    <col min="539" max="540" width="4.59765625" style="107" customWidth="1"/>
    <col min="541" max="543" width="3.59765625" style="107" customWidth="1"/>
    <col min="544" max="544" width="5.09765625" style="107" customWidth="1"/>
    <col min="545" max="545" width="4" style="107" customWidth="1"/>
    <col min="546" max="546" width="4.69921875" style="107" customWidth="1"/>
    <col min="547" max="548" width="3.296875" style="107" customWidth="1"/>
    <col min="549" max="549" width="6.69921875" style="107"/>
    <col min="550" max="551" width="2.59765625" style="107" customWidth="1"/>
    <col min="552" max="768" width="6.69921875" style="107"/>
    <col min="769" max="769" width="3.59765625" style="107" customWidth="1"/>
    <col min="770" max="772" width="5.296875" style="107" customWidth="1"/>
    <col min="773" max="778" width="4.09765625" style="107" customWidth="1"/>
    <col min="779" max="781" width="3.09765625" style="107" bestFit="1" customWidth="1"/>
    <col min="782" max="782" width="3.09765625" style="107" customWidth="1"/>
    <col min="783" max="783" width="3.296875" style="107" bestFit="1" customWidth="1"/>
    <col min="784" max="784" width="5.296875" style="107" bestFit="1" customWidth="1"/>
    <col min="785" max="786" width="3.296875" style="107" customWidth="1"/>
    <col min="787" max="789" width="4.59765625" style="107" customWidth="1"/>
    <col min="790" max="791" width="3.796875" style="107" customWidth="1"/>
    <col min="792" max="792" width="4.296875" style="107" customWidth="1"/>
    <col min="793" max="794" width="3.796875" style="107" customWidth="1"/>
    <col min="795" max="796" width="4.59765625" style="107" customWidth="1"/>
    <col min="797" max="799" width="3.59765625" style="107" customWidth="1"/>
    <col min="800" max="800" width="5.09765625" style="107" customWidth="1"/>
    <col min="801" max="801" width="4" style="107" customWidth="1"/>
    <col min="802" max="802" width="4.69921875" style="107" customWidth="1"/>
    <col min="803" max="804" width="3.296875" style="107" customWidth="1"/>
    <col min="805" max="805" width="6.69921875" style="107"/>
    <col min="806" max="807" width="2.59765625" style="107" customWidth="1"/>
    <col min="808" max="1024" width="6.69921875" style="107"/>
    <col min="1025" max="1025" width="3.59765625" style="107" customWidth="1"/>
    <col min="1026" max="1028" width="5.296875" style="107" customWidth="1"/>
    <col min="1029" max="1034" width="4.09765625" style="107" customWidth="1"/>
    <col min="1035" max="1037" width="3.09765625" style="107" bestFit="1" customWidth="1"/>
    <col min="1038" max="1038" width="3.09765625" style="107" customWidth="1"/>
    <col min="1039" max="1039" width="3.296875" style="107" bestFit="1" customWidth="1"/>
    <col min="1040" max="1040" width="5.296875" style="107" bestFit="1" customWidth="1"/>
    <col min="1041" max="1042" width="3.296875" style="107" customWidth="1"/>
    <col min="1043" max="1045" width="4.59765625" style="107" customWidth="1"/>
    <col min="1046" max="1047" width="3.796875" style="107" customWidth="1"/>
    <col min="1048" max="1048" width="4.296875" style="107" customWidth="1"/>
    <col min="1049" max="1050" width="3.796875" style="107" customWidth="1"/>
    <col min="1051" max="1052" width="4.59765625" style="107" customWidth="1"/>
    <col min="1053" max="1055" width="3.59765625" style="107" customWidth="1"/>
    <col min="1056" max="1056" width="5.09765625" style="107" customWidth="1"/>
    <col min="1057" max="1057" width="4" style="107" customWidth="1"/>
    <col min="1058" max="1058" width="4.69921875" style="107" customWidth="1"/>
    <col min="1059" max="1060" width="3.296875" style="107" customWidth="1"/>
    <col min="1061" max="1061" width="6.69921875" style="107"/>
    <col min="1062" max="1063" width="2.59765625" style="107" customWidth="1"/>
    <col min="1064" max="1280" width="6.69921875" style="107"/>
    <col min="1281" max="1281" width="3.59765625" style="107" customWidth="1"/>
    <col min="1282" max="1284" width="5.296875" style="107" customWidth="1"/>
    <col min="1285" max="1290" width="4.09765625" style="107" customWidth="1"/>
    <col min="1291" max="1293" width="3.09765625" style="107" bestFit="1" customWidth="1"/>
    <col min="1294" max="1294" width="3.09765625" style="107" customWidth="1"/>
    <col min="1295" max="1295" width="3.296875" style="107" bestFit="1" customWidth="1"/>
    <col min="1296" max="1296" width="5.296875" style="107" bestFit="1" customWidth="1"/>
    <col min="1297" max="1298" width="3.296875" style="107" customWidth="1"/>
    <col min="1299" max="1301" width="4.59765625" style="107" customWidth="1"/>
    <col min="1302" max="1303" width="3.796875" style="107" customWidth="1"/>
    <col min="1304" max="1304" width="4.296875" style="107" customWidth="1"/>
    <col min="1305" max="1306" width="3.796875" style="107" customWidth="1"/>
    <col min="1307" max="1308" width="4.59765625" style="107" customWidth="1"/>
    <col min="1309" max="1311" width="3.59765625" style="107" customWidth="1"/>
    <col min="1312" max="1312" width="5.09765625" style="107" customWidth="1"/>
    <col min="1313" max="1313" width="4" style="107" customWidth="1"/>
    <col min="1314" max="1314" width="4.69921875" style="107" customWidth="1"/>
    <col min="1315" max="1316" width="3.296875" style="107" customWidth="1"/>
    <col min="1317" max="1317" width="6.69921875" style="107"/>
    <col min="1318" max="1319" width="2.59765625" style="107" customWidth="1"/>
    <col min="1320" max="1536" width="6.69921875" style="107"/>
    <col min="1537" max="1537" width="3.59765625" style="107" customWidth="1"/>
    <col min="1538" max="1540" width="5.296875" style="107" customWidth="1"/>
    <col min="1541" max="1546" width="4.09765625" style="107" customWidth="1"/>
    <col min="1547" max="1549" width="3.09765625" style="107" bestFit="1" customWidth="1"/>
    <col min="1550" max="1550" width="3.09765625" style="107" customWidth="1"/>
    <col min="1551" max="1551" width="3.296875" style="107" bestFit="1" customWidth="1"/>
    <col min="1552" max="1552" width="5.296875" style="107" bestFit="1" customWidth="1"/>
    <col min="1553" max="1554" width="3.296875" style="107" customWidth="1"/>
    <col min="1555" max="1557" width="4.59765625" style="107" customWidth="1"/>
    <col min="1558" max="1559" width="3.796875" style="107" customWidth="1"/>
    <col min="1560" max="1560" width="4.296875" style="107" customWidth="1"/>
    <col min="1561" max="1562" width="3.796875" style="107" customWidth="1"/>
    <col min="1563" max="1564" width="4.59765625" style="107" customWidth="1"/>
    <col min="1565" max="1567" width="3.59765625" style="107" customWidth="1"/>
    <col min="1568" max="1568" width="5.09765625" style="107" customWidth="1"/>
    <col min="1569" max="1569" width="4" style="107" customWidth="1"/>
    <col min="1570" max="1570" width="4.69921875" style="107" customWidth="1"/>
    <col min="1571" max="1572" width="3.296875" style="107" customWidth="1"/>
    <col min="1573" max="1573" width="6.69921875" style="107"/>
    <col min="1574" max="1575" width="2.59765625" style="107" customWidth="1"/>
    <col min="1576" max="1792" width="6.69921875" style="107"/>
    <col min="1793" max="1793" width="3.59765625" style="107" customWidth="1"/>
    <col min="1794" max="1796" width="5.296875" style="107" customWidth="1"/>
    <col min="1797" max="1802" width="4.09765625" style="107" customWidth="1"/>
    <col min="1803" max="1805" width="3.09765625" style="107" bestFit="1" customWidth="1"/>
    <col min="1806" max="1806" width="3.09765625" style="107" customWidth="1"/>
    <col min="1807" max="1807" width="3.296875" style="107" bestFit="1" customWidth="1"/>
    <col min="1808" max="1808" width="5.296875" style="107" bestFit="1" customWidth="1"/>
    <col min="1809" max="1810" width="3.296875" style="107" customWidth="1"/>
    <col min="1811" max="1813" width="4.59765625" style="107" customWidth="1"/>
    <col min="1814" max="1815" width="3.796875" style="107" customWidth="1"/>
    <col min="1816" max="1816" width="4.296875" style="107" customWidth="1"/>
    <col min="1817" max="1818" width="3.796875" style="107" customWidth="1"/>
    <col min="1819" max="1820" width="4.59765625" style="107" customWidth="1"/>
    <col min="1821" max="1823" width="3.59765625" style="107" customWidth="1"/>
    <col min="1824" max="1824" width="5.09765625" style="107" customWidth="1"/>
    <col min="1825" max="1825" width="4" style="107" customWidth="1"/>
    <col min="1826" max="1826" width="4.69921875" style="107" customWidth="1"/>
    <col min="1827" max="1828" width="3.296875" style="107" customWidth="1"/>
    <col min="1829" max="1829" width="6.69921875" style="107"/>
    <col min="1830" max="1831" width="2.59765625" style="107" customWidth="1"/>
    <col min="1832" max="2048" width="6.69921875" style="107"/>
    <col min="2049" max="2049" width="3.59765625" style="107" customWidth="1"/>
    <col min="2050" max="2052" width="5.296875" style="107" customWidth="1"/>
    <col min="2053" max="2058" width="4.09765625" style="107" customWidth="1"/>
    <col min="2059" max="2061" width="3.09765625" style="107" bestFit="1" customWidth="1"/>
    <col min="2062" max="2062" width="3.09765625" style="107" customWidth="1"/>
    <col min="2063" max="2063" width="3.296875" style="107" bestFit="1" customWidth="1"/>
    <col min="2064" max="2064" width="5.296875" style="107" bestFit="1" customWidth="1"/>
    <col min="2065" max="2066" width="3.296875" style="107" customWidth="1"/>
    <col min="2067" max="2069" width="4.59765625" style="107" customWidth="1"/>
    <col min="2070" max="2071" width="3.796875" style="107" customWidth="1"/>
    <col min="2072" max="2072" width="4.296875" style="107" customWidth="1"/>
    <col min="2073" max="2074" width="3.796875" style="107" customWidth="1"/>
    <col min="2075" max="2076" width="4.59765625" style="107" customWidth="1"/>
    <col min="2077" max="2079" width="3.59765625" style="107" customWidth="1"/>
    <col min="2080" max="2080" width="5.09765625" style="107" customWidth="1"/>
    <col min="2081" max="2081" width="4" style="107" customWidth="1"/>
    <col min="2082" max="2082" width="4.69921875" style="107" customWidth="1"/>
    <col min="2083" max="2084" width="3.296875" style="107" customWidth="1"/>
    <col min="2085" max="2085" width="6.69921875" style="107"/>
    <col min="2086" max="2087" width="2.59765625" style="107" customWidth="1"/>
    <col min="2088" max="2304" width="6.69921875" style="107"/>
    <col min="2305" max="2305" width="3.59765625" style="107" customWidth="1"/>
    <col min="2306" max="2308" width="5.296875" style="107" customWidth="1"/>
    <col min="2309" max="2314" width="4.09765625" style="107" customWidth="1"/>
    <col min="2315" max="2317" width="3.09765625" style="107" bestFit="1" customWidth="1"/>
    <col min="2318" max="2318" width="3.09765625" style="107" customWidth="1"/>
    <col min="2319" max="2319" width="3.296875" style="107" bestFit="1" customWidth="1"/>
    <col min="2320" max="2320" width="5.296875" style="107" bestFit="1" customWidth="1"/>
    <col min="2321" max="2322" width="3.296875" style="107" customWidth="1"/>
    <col min="2323" max="2325" width="4.59765625" style="107" customWidth="1"/>
    <col min="2326" max="2327" width="3.796875" style="107" customWidth="1"/>
    <col min="2328" max="2328" width="4.296875" style="107" customWidth="1"/>
    <col min="2329" max="2330" width="3.796875" style="107" customWidth="1"/>
    <col min="2331" max="2332" width="4.59765625" style="107" customWidth="1"/>
    <col min="2333" max="2335" width="3.59765625" style="107" customWidth="1"/>
    <col min="2336" max="2336" width="5.09765625" style="107" customWidth="1"/>
    <col min="2337" max="2337" width="4" style="107" customWidth="1"/>
    <col min="2338" max="2338" width="4.69921875" style="107" customWidth="1"/>
    <col min="2339" max="2340" width="3.296875" style="107" customWidth="1"/>
    <col min="2341" max="2341" width="6.69921875" style="107"/>
    <col min="2342" max="2343" width="2.59765625" style="107" customWidth="1"/>
    <col min="2344" max="2560" width="6.69921875" style="107"/>
    <col min="2561" max="2561" width="3.59765625" style="107" customWidth="1"/>
    <col min="2562" max="2564" width="5.296875" style="107" customWidth="1"/>
    <col min="2565" max="2570" width="4.09765625" style="107" customWidth="1"/>
    <col min="2571" max="2573" width="3.09765625" style="107" bestFit="1" customWidth="1"/>
    <col min="2574" max="2574" width="3.09765625" style="107" customWidth="1"/>
    <col min="2575" max="2575" width="3.296875" style="107" bestFit="1" customWidth="1"/>
    <col min="2576" max="2576" width="5.296875" style="107" bestFit="1" customWidth="1"/>
    <col min="2577" max="2578" width="3.296875" style="107" customWidth="1"/>
    <col min="2579" max="2581" width="4.59765625" style="107" customWidth="1"/>
    <col min="2582" max="2583" width="3.796875" style="107" customWidth="1"/>
    <col min="2584" max="2584" width="4.296875" style="107" customWidth="1"/>
    <col min="2585" max="2586" width="3.796875" style="107" customWidth="1"/>
    <col min="2587" max="2588" width="4.59765625" style="107" customWidth="1"/>
    <col min="2589" max="2591" width="3.59765625" style="107" customWidth="1"/>
    <col min="2592" max="2592" width="5.09765625" style="107" customWidth="1"/>
    <col min="2593" max="2593" width="4" style="107" customWidth="1"/>
    <col min="2594" max="2594" width="4.69921875" style="107" customWidth="1"/>
    <col min="2595" max="2596" width="3.296875" style="107" customWidth="1"/>
    <col min="2597" max="2597" width="6.69921875" style="107"/>
    <col min="2598" max="2599" width="2.59765625" style="107" customWidth="1"/>
    <col min="2600" max="2816" width="6.69921875" style="107"/>
    <col min="2817" max="2817" width="3.59765625" style="107" customWidth="1"/>
    <col min="2818" max="2820" width="5.296875" style="107" customWidth="1"/>
    <col min="2821" max="2826" width="4.09765625" style="107" customWidth="1"/>
    <col min="2827" max="2829" width="3.09765625" style="107" bestFit="1" customWidth="1"/>
    <col min="2830" max="2830" width="3.09765625" style="107" customWidth="1"/>
    <col min="2831" max="2831" width="3.296875" style="107" bestFit="1" customWidth="1"/>
    <col min="2832" max="2832" width="5.296875" style="107" bestFit="1" customWidth="1"/>
    <col min="2833" max="2834" width="3.296875" style="107" customWidth="1"/>
    <col min="2835" max="2837" width="4.59765625" style="107" customWidth="1"/>
    <col min="2838" max="2839" width="3.796875" style="107" customWidth="1"/>
    <col min="2840" max="2840" width="4.296875" style="107" customWidth="1"/>
    <col min="2841" max="2842" width="3.796875" style="107" customWidth="1"/>
    <col min="2843" max="2844" width="4.59765625" style="107" customWidth="1"/>
    <col min="2845" max="2847" width="3.59765625" style="107" customWidth="1"/>
    <col min="2848" max="2848" width="5.09765625" style="107" customWidth="1"/>
    <col min="2849" max="2849" width="4" style="107" customWidth="1"/>
    <col min="2850" max="2850" width="4.69921875" style="107" customWidth="1"/>
    <col min="2851" max="2852" width="3.296875" style="107" customWidth="1"/>
    <col min="2853" max="2853" width="6.69921875" style="107"/>
    <col min="2854" max="2855" width="2.59765625" style="107" customWidth="1"/>
    <col min="2856" max="3072" width="6.69921875" style="107"/>
    <col min="3073" max="3073" width="3.59765625" style="107" customWidth="1"/>
    <col min="3074" max="3076" width="5.296875" style="107" customWidth="1"/>
    <col min="3077" max="3082" width="4.09765625" style="107" customWidth="1"/>
    <col min="3083" max="3085" width="3.09765625" style="107" bestFit="1" customWidth="1"/>
    <col min="3086" max="3086" width="3.09765625" style="107" customWidth="1"/>
    <col min="3087" max="3087" width="3.296875" style="107" bestFit="1" customWidth="1"/>
    <col min="3088" max="3088" width="5.296875" style="107" bestFit="1" customWidth="1"/>
    <col min="3089" max="3090" width="3.296875" style="107" customWidth="1"/>
    <col min="3091" max="3093" width="4.59765625" style="107" customWidth="1"/>
    <col min="3094" max="3095" width="3.796875" style="107" customWidth="1"/>
    <col min="3096" max="3096" width="4.296875" style="107" customWidth="1"/>
    <col min="3097" max="3098" width="3.796875" style="107" customWidth="1"/>
    <col min="3099" max="3100" width="4.59765625" style="107" customWidth="1"/>
    <col min="3101" max="3103" width="3.59765625" style="107" customWidth="1"/>
    <col min="3104" max="3104" width="5.09765625" style="107" customWidth="1"/>
    <col min="3105" max="3105" width="4" style="107" customWidth="1"/>
    <col min="3106" max="3106" width="4.69921875" style="107" customWidth="1"/>
    <col min="3107" max="3108" width="3.296875" style="107" customWidth="1"/>
    <col min="3109" max="3109" width="6.69921875" style="107"/>
    <col min="3110" max="3111" width="2.59765625" style="107" customWidth="1"/>
    <col min="3112" max="3328" width="6.69921875" style="107"/>
    <col min="3329" max="3329" width="3.59765625" style="107" customWidth="1"/>
    <col min="3330" max="3332" width="5.296875" style="107" customWidth="1"/>
    <col min="3333" max="3338" width="4.09765625" style="107" customWidth="1"/>
    <col min="3339" max="3341" width="3.09765625" style="107" bestFit="1" customWidth="1"/>
    <col min="3342" max="3342" width="3.09765625" style="107" customWidth="1"/>
    <col min="3343" max="3343" width="3.296875" style="107" bestFit="1" customWidth="1"/>
    <col min="3344" max="3344" width="5.296875" style="107" bestFit="1" customWidth="1"/>
    <col min="3345" max="3346" width="3.296875" style="107" customWidth="1"/>
    <col min="3347" max="3349" width="4.59765625" style="107" customWidth="1"/>
    <col min="3350" max="3351" width="3.796875" style="107" customWidth="1"/>
    <col min="3352" max="3352" width="4.296875" style="107" customWidth="1"/>
    <col min="3353" max="3354" width="3.796875" style="107" customWidth="1"/>
    <col min="3355" max="3356" width="4.59765625" style="107" customWidth="1"/>
    <col min="3357" max="3359" width="3.59765625" style="107" customWidth="1"/>
    <col min="3360" max="3360" width="5.09765625" style="107" customWidth="1"/>
    <col min="3361" max="3361" width="4" style="107" customWidth="1"/>
    <col min="3362" max="3362" width="4.69921875" style="107" customWidth="1"/>
    <col min="3363" max="3364" width="3.296875" style="107" customWidth="1"/>
    <col min="3365" max="3365" width="6.69921875" style="107"/>
    <col min="3366" max="3367" width="2.59765625" style="107" customWidth="1"/>
    <col min="3368" max="3584" width="6.69921875" style="107"/>
    <col min="3585" max="3585" width="3.59765625" style="107" customWidth="1"/>
    <col min="3586" max="3588" width="5.296875" style="107" customWidth="1"/>
    <col min="3589" max="3594" width="4.09765625" style="107" customWidth="1"/>
    <col min="3595" max="3597" width="3.09765625" style="107" bestFit="1" customWidth="1"/>
    <col min="3598" max="3598" width="3.09765625" style="107" customWidth="1"/>
    <col min="3599" max="3599" width="3.296875" style="107" bestFit="1" customWidth="1"/>
    <col min="3600" max="3600" width="5.296875" style="107" bestFit="1" customWidth="1"/>
    <col min="3601" max="3602" width="3.296875" style="107" customWidth="1"/>
    <col min="3603" max="3605" width="4.59765625" style="107" customWidth="1"/>
    <col min="3606" max="3607" width="3.796875" style="107" customWidth="1"/>
    <col min="3608" max="3608" width="4.296875" style="107" customWidth="1"/>
    <col min="3609" max="3610" width="3.796875" style="107" customWidth="1"/>
    <col min="3611" max="3612" width="4.59765625" style="107" customWidth="1"/>
    <col min="3613" max="3615" width="3.59765625" style="107" customWidth="1"/>
    <col min="3616" max="3616" width="5.09765625" style="107" customWidth="1"/>
    <col min="3617" max="3617" width="4" style="107" customWidth="1"/>
    <col min="3618" max="3618" width="4.69921875" style="107" customWidth="1"/>
    <col min="3619" max="3620" width="3.296875" style="107" customWidth="1"/>
    <col min="3621" max="3621" width="6.69921875" style="107"/>
    <col min="3622" max="3623" width="2.59765625" style="107" customWidth="1"/>
    <col min="3624" max="3840" width="6.69921875" style="107"/>
    <col min="3841" max="3841" width="3.59765625" style="107" customWidth="1"/>
    <col min="3842" max="3844" width="5.296875" style="107" customWidth="1"/>
    <col min="3845" max="3850" width="4.09765625" style="107" customWidth="1"/>
    <col min="3851" max="3853" width="3.09765625" style="107" bestFit="1" customWidth="1"/>
    <col min="3854" max="3854" width="3.09765625" style="107" customWidth="1"/>
    <col min="3855" max="3855" width="3.296875" style="107" bestFit="1" customWidth="1"/>
    <col min="3856" max="3856" width="5.296875" style="107" bestFit="1" customWidth="1"/>
    <col min="3857" max="3858" width="3.296875" style="107" customWidth="1"/>
    <col min="3859" max="3861" width="4.59765625" style="107" customWidth="1"/>
    <col min="3862" max="3863" width="3.796875" style="107" customWidth="1"/>
    <col min="3864" max="3864" width="4.296875" style="107" customWidth="1"/>
    <col min="3865" max="3866" width="3.796875" style="107" customWidth="1"/>
    <col min="3867" max="3868" width="4.59765625" style="107" customWidth="1"/>
    <col min="3869" max="3871" width="3.59765625" style="107" customWidth="1"/>
    <col min="3872" max="3872" width="5.09765625" style="107" customWidth="1"/>
    <col min="3873" max="3873" width="4" style="107" customWidth="1"/>
    <col min="3874" max="3874" width="4.69921875" style="107" customWidth="1"/>
    <col min="3875" max="3876" width="3.296875" style="107" customWidth="1"/>
    <col min="3877" max="3877" width="6.69921875" style="107"/>
    <col min="3878" max="3879" width="2.59765625" style="107" customWidth="1"/>
    <col min="3880" max="4096" width="6.69921875" style="107"/>
    <col min="4097" max="4097" width="3.59765625" style="107" customWidth="1"/>
    <col min="4098" max="4100" width="5.296875" style="107" customWidth="1"/>
    <col min="4101" max="4106" width="4.09765625" style="107" customWidth="1"/>
    <col min="4107" max="4109" width="3.09765625" style="107" bestFit="1" customWidth="1"/>
    <col min="4110" max="4110" width="3.09765625" style="107" customWidth="1"/>
    <col min="4111" max="4111" width="3.296875" style="107" bestFit="1" customWidth="1"/>
    <col min="4112" max="4112" width="5.296875" style="107" bestFit="1" customWidth="1"/>
    <col min="4113" max="4114" width="3.296875" style="107" customWidth="1"/>
    <col min="4115" max="4117" width="4.59765625" style="107" customWidth="1"/>
    <col min="4118" max="4119" width="3.796875" style="107" customWidth="1"/>
    <col min="4120" max="4120" width="4.296875" style="107" customWidth="1"/>
    <col min="4121" max="4122" width="3.796875" style="107" customWidth="1"/>
    <col min="4123" max="4124" width="4.59765625" style="107" customWidth="1"/>
    <col min="4125" max="4127" width="3.59765625" style="107" customWidth="1"/>
    <col min="4128" max="4128" width="5.09765625" style="107" customWidth="1"/>
    <col min="4129" max="4129" width="4" style="107" customWidth="1"/>
    <col min="4130" max="4130" width="4.69921875" style="107" customWidth="1"/>
    <col min="4131" max="4132" width="3.296875" style="107" customWidth="1"/>
    <col min="4133" max="4133" width="6.69921875" style="107"/>
    <col min="4134" max="4135" width="2.59765625" style="107" customWidth="1"/>
    <col min="4136" max="4352" width="6.69921875" style="107"/>
    <col min="4353" max="4353" width="3.59765625" style="107" customWidth="1"/>
    <col min="4354" max="4356" width="5.296875" style="107" customWidth="1"/>
    <col min="4357" max="4362" width="4.09765625" style="107" customWidth="1"/>
    <col min="4363" max="4365" width="3.09765625" style="107" bestFit="1" customWidth="1"/>
    <col min="4366" max="4366" width="3.09765625" style="107" customWidth="1"/>
    <col min="4367" max="4367" width="3.296875" style="107" bestFit="1" customWidth="1"/>
    <col min="4368" max="4368" width="5.296875" style="107" bestFit="1" customWidth="1"/>
    <col min="4369" max="4370" width="3.296875" style="107" customWidth="1"/>
    <col min="4371" max="4373" width="4.59765625" style="107" customWidth="1"/>
    <col min="4374" max="4375" width="3.796875" style="107" customWidth="1"/>
    <col min="4376" max="4376" width="4.296875" style="107" customWidth="1"/>
    <col min="4377" max="4378" width="3.796875" style="107" customWidth="1"/>
    <col min="4379" max="4380" width="4.59765625" style="107" customWidth="1"/>
    <col min="4381" max="4383" width="3.59765625" style="107" customWidth="1"/>
    <col min="4384" max="4384" width="5.09765625" style="107" customWidth="1"/>
    <col min="4385" max="4385" width="4" style="107" customWidth="1"/>
    <col min="4386" max="4386" width="4.69921875" style="107" customWidth="1"/>
    <col min="4387" max="4388" width="3.296875" style="107" customWidth="1"/>
    <col min="4389" max="4389" width="6.69921875" style="107"/>
    <col min="4390" max="4391" width="2.59765625" style="107" customWidth="1"/>
    <col min="4392" max="4608" width="6.69921875" style="107"/>
    <col min="4609" max="4609" width="3.59765625" style="107" customWidth="1"/>
    <col min="4610" max="4612" width="5.296875" style="107" customWidth="1"/>
    <col min="4613" max="4618" width="4.09765625" style="107" customWidth="1"/>
    <col min="4619" max="4621" width="3.09765625" style="107" bestFit="1" customWidth="1"/>
    <col min="4622" max="4622" width="3.09765625" style="107" customWidth="1"/>
    <col min="4623" max="4623" width="3.296875" style="107" bestFit="1" customWidth="1"/>
    <col min="4624" max="4624" width="5.296875" style="107" bestFit="1" customWidth="1"/>
    <col min="4625" max="4626" width="3.296875" style="107" customWidth="1"/>
    <col min="4627" max="4629" width="4.59765625" style="107" customWidth="1"/>
    <col min="4630" max="4631" width="3.796875" style="107" customWidth="1"/>
    <col min="4632" max="4632" width="4.296875" style="107" customWidth="1"/>
    <col min="4633" max="4634" width="3.796875" style="107" customWidth="1"/>
    <col min="4635" max="4636" width="4.59765625" style="107" customWidth="1"/>
    <col min="4637" max="4639" width="3.59765625" style="107" customWidth="1"/>
    <col min="4640" max="4640" width="5.09765625" style="107" customWidth="1"/>
    <col min="4641" max="4641" width="4" style="107" customWidth="1"/>
    <col min="4642" max="4642" width="4.69921875" style="107" customWidth="1"/>
    <col min="4643" max="4644" width="3.296875" style="107" customWidth="1"/>
    <col min="4645" max="4645" width="6.69921875" style="107"/>
    <col min="4646" max="4647" width="2.59765625" style="107" customWidth="1"/>
    <col min="4648" max="4864" width="6.69921875" style="107"/>
    <col min="4865" max="4865" width="3.59765625" style="107" customWidth="1"/>
    <col min="4866" max="4868" width="5.296875" style="107" customWidth="1"/>
    <col min="4869" max="4874" width="4.09765625" style="107" customWidth="1"/>
    <col min="4875" max="4877" width="3.09765625" style="107" bestFit="1" customWidth="1"/>
    <col min="4878" max="4878" width="3.09765625" style="107" customWidth="1"/>
    <col min="4879" max="4879" width="3.296875" style="107" bestFit="1" customWidth="1"/>
    <col min="4880" max="4880" width="5.296875" style="107" bestFit="1" customWidth="1"/>
    <col min="4881" max="4882" width="3.296875" style="107" customWidth="1"/>
    <col min="4883" max="4885" width="4.59765625" style="107" customWidth="1"/>
    <col min="4886" max="4887" width="3.796875" style="107" customWidth="1"/>
    <col min="4888" max="4888" width="4.296875" style="107" customWidth="1"/>
    <col min="4889" max="4890" width="3.796875" style="107" customWidth="1"/>
    <col min="4891" max="4892" width="4.59765625" style="107" customWidth="1"/>
    <col min="4893" max="4895" width="3.59765625" style="107" customWidth="1"/>
    <col min="4896" max="4896" width="5.09765625" style="107" customWidth="1"/>
    <col min="4897" max="4897" width="4" style="107" customWidth="1"/>
    <col min="4898" max="4898" width="4.69921875" style="107" customWidth="1"/>
    <col min="4899" max="4900" width="3.296875" style="107" customWidth="1"/>
    <col min="4901" max="4901" width="6.69921875" style="107"/>
    <col min="4902" max="4903" width="2.59765625" style="107" customWidth="1"/>
    <col min="4904" max="5120" width="6.69921875" style="107"/>
    <col min="5121" max="5121" width="3.59765625" style="107" customWidth="1"/>
    <col min="5122" max="5124" width="5.296875" style="107" customWidth="1"/>
    <col min="5125" max="5130" width="4.09765625" style="107" customWidth="1"/>
    <col min="5131" max="5133" width="3.09765625" style="107" bestFit="1" customWidth="1"/>
    <col min="5134" max="5134" width="3.09765625" style="107" customWidth="1"/>
    <col min="5135" max="5135" width="3.296875" style="107" bestFit="1" customWidth="1"/>
    <col min="5136" max="5136" width="5.296875" style="107" bestFit="1" customWidth="1"/>
    <col min="5137" max="5138" width="3.296875" style="107" customWidth="1"/>
    <col min="5139" max="5141" width="4.59765625" style="107" customWidth="1"/>
    <col min="5142" max="5143" width="3.796875" style="107" customWidth="1"/>
    <col min="5144" max="5144" width="4.296875" style="107" customWidth="1"/>
    <col min="5145" max="5146" width="3.796875" style="107" customWidth="1"/>
    <col min="5147" max="5148" width="4.59765625" style="107" customWidth="1"/>
    <col min="5149" max="5151" width="3.59765625" style="107" customWidth="1"/>
    <col min="5152" max="5152" width="5.09765625" style="107" customWidth="1"/>
    <col min="5153" max="5153" width="4" style="107" customWidth="1"/>
    <col min="5154" max="5154" width="4.69921875" style="107" customWidth="1"/>
    <col min="5155" max="5156" width="3.296875" style="107" customWidth="1"/>
    <col min="5157" max="5157" width="6.69921875" style="107"/>
    <col min="5158" max="5159" width="2.59765625" style="107" customWidth="1"/>
    <col min="5160" max="5376" width="6.69921875" style="107"/>
    <col min="5377" max="5377" width="3.59765625" style="107" customWidth="1"/>
    <col min="5378" max="5380" width="5.296875" style="107" customWidth="1"/>
    <col min="5381" max="5386" width="4.09765625" style="107" customWidth="1"/>
    <col min="5387" max="5389" width="3.09765625" style="107" bestFit="1" customWidth="1"/>
    <col min="5390" max="5390" width="3.09765625" style="107" customWidth="1"/>
    <col min="5391" max="5391" width="3.296875" style="107" bestFit="1" customWidth="1"/>
    <col min="5392" max="5392" width="5.296875" style="107" bestFit="1" customWidth="1"/>
    <col min="5393" max="5394" width="3.296875" style="107" customWidth="1"/>
    <col min="5395" max="5397" width="4.59765625" style="107" customWidth="1"/>
    <col min="5398" max="5399" width="3.796875" style="107" customWidth="1"/>
    <col min="5400" max="5400" width="4.296875" style="107" customWidth="1"/>
    <col min="5401" max="5402" width="3.796875" style="107" customWidth="1"/>
    <col min="5403" max="5404" width="4.59765625" style="107" customWidth="1"/>
    <col min="5405" max="5407" width="3.59765625" style="107" customWidth="1"/>
    <col min="5408" max="5408" width="5.09765625" style="107" customWidth="1"/>
    <col min="5409" max="5409" width="4" style="107" customWidth="1"/>
    <col min="5410" max="5410" width="4.69921875" style="107" customWidth="1"/>
    <col min="5411" max="5412" width="3.296875" style="107" customWidth="1"/>
    <col min="5413" max="5413" width="6.69921875" style="107"/>
    <col min="5414" max="5415" width="2.59765625" style="107" customWidth="1"/>
    <col min="5416" max="5632" width="6.69921875" style="107"/>
    <col min="5633" max="5633" width="3.59765625" style="107" customWidth="1"/>
    <col min="5634" max="5636" width="5.296875" style="107" customWidth="1"/>
    <col min="5637" max="5642" width="4.09765625" style="107" customWidth="1"/>
    <col min="5643" max="5645" width="3.09765625" style="107" bestFit="1" customWidth="1"/>
    <col min="5646" max="5646" width="3.09765625" style="107" customWidth="1"/>
    <col min="5647" max="5647" width="3.296875" style="107" bestFit="1" customWidth="1"/>
    <col min="5648" max="5648" width="5.296875" style="107" bestFit="1" customWidth="1"/>
    <col min="5649" max="5650" width="3.296875" style="107" customWidth="1"/>
    <col min="5651" max="5653" width="4.59765625" style="107" customWidth="1"/>
    <col min="5654" max="5655" width="3.796875" style="107" customWidth="1"/>
    <col min="5656" max="5656" width="4.296875" style="107" customWidth="1"/>
    <col min="5657" max="5658" width="3.796875" style="107" customWidth="1"/>
    <col min="5659" max="5660" width="4.59765625" style="107" customWidth="1"/>
    <col min="5661" max="5663" width="3.59765625" style="107" customWidth="1"/>
    <col min="5664" max="5664" width="5.09765625" style="107" customWidth="1"/>
    <col min="5665" max="5665" width="4" style="107" customWidth="1"/>
    <col min="5666" max="5666" width="4.69921875" style="107" customWidth="1"/>
    <col min="5667" max="5668" width="3.296875" style="107" customWidth="1"/>
    <col min="5669" max="5669" width="6.69921875" style="107"/>
    <col min="5670" max="5671" width="2.59765625" style="107" customWidth="1"/>
    <col min="5672" max="5888" width="6.69921875" style="107"/>
    <col min="5889" max="5889" width="3.59765625" style="107" customWidth="1"/>
    <col min="5890" max="5892" width="5.296875" style="107" customWidth="1"/>
    <col min="5893" max="5898" width="4.09765625" style="107" customWidth="1"/>
    <col min="5899" max="5901" width="3.09765625" style="107" bestFit="1" customWidth="1"/>
    <col min="5902" max="5902" width="3.09765625" style="107" customWidth="1"/>
    <col min="5903" max="5903" width="3.296875" style="107" bestFit="1" customWidth="1"/>
    <col min="5904" max="5904" width="5.296875" style="107" bestFit="1" customWidth="1"/>
    <col min="5905" max="5906" width="3.296875" style="107" customWidth="1"/>
    <col min="5907" max="5909" width="4.59765625" style="107" customWidth="1"/>
    <col min="5910" max="5911" width="3.796875" style="107" customWidth="1"/>
    <col min="5912" max="5912" width="4.296875" style="107" customWidth="1"/>
    <col min="5913" max="5914" width="3.796875" style="107" customWidth="1"/>
    <col min="5915" max="5916" width="4.59765625" style="107" customWidth="1"/>
    <col min="5917" max="5919" width="3.59765625" style="107" customWidth="1"/>
    <col min="5920" max="5920" width="5.09765625" style="107" customWidth="1"/>
    <col min="5921" max="5921" width="4" style="107" customWidth="1"/>
    <col min="5922" max="5922" width="4.69921875" style="107" customWidth="1"/>
    <col min="5923" max="5924" width="3.296875" style="107" customWidth="1"/>
    <col min="5925" max="5925" width="6.69921875" style="107"/>
    <col min="5926" max="5927" width="2.59765625" style="107" customWidth="1"/>
    <col min="5928" max="6144" width="6.69921875" style="107"/>
    <col min="6145" max="6145" width="3.59765625" style="107" customWidth="1"/>
    <col min="6146" max="6148" width="5.296875" style="107" customWidth="1"/>
    <col min="6149" max="6154" width="4.09765625" style="107" customWidth="1"/>
    <col min="6155" max="6157" width="3.09765625" style="107" bestFit="1" customWidth="1"/>
    <col min="6158" max="6158" width="3.09765625" style="107" customWidth="1"/>
    <col min="6159" max="6159" width="3.296875" style="107" bestFit="1" customWidth="1"/>
    <col min="6160" max="6160" width="5.296875" style="107" bestFit="1" customWidth="1"/>
    <col min="6161" max="6162" width="3.296875" style="107" customWidth="1"/>
    <col min="6163" max="6165" width="4.59765625" style="107" customWidth="1"/>
    <col min="6166" max="6167" width="3.796875" style="107" customWidth="1"/>
    <col min="6168" max="6168" width="4.296875" style="107" customWidth="1"/>
    <col min="6169" max="6170" width="3.796875" style="107" customWidth="1"/>
    <col min="6171" max="6172" width="4.59765625" style="107" customWidth="1"/>
    <col min="6173" max="6175" width="3.59765625" style="107" customWidth="1"/>
    <col min="6176" max="6176" width="5.09765625" style="107" customWidth="1"/>
    <col min="6177" max="6177" width="4" style="107" customWidth="1"/>
    <col min="6178" max="6178" width="4.69921875" style="107" customWidth="1"/>
    <col min="6179" max="6180" width="3.296875" style="107" customWidth="1"/>
    <col min="6181" max="6181" width="6.69921875" style="107"/>
    <col min="6182" max="6183" width="2.59765625" style="107" customWidth="1"/>
    <col min="6184" max="6400" width="6.69921875" style="107"/>
    <col min="6401" max="6401" width="3.59765625" style="107" customWidth="1"/>
    <col min="6402" max="6404" width="5.296875" style="107" customWidth="1"/>
    <col min="6405" max="6410" width="4.09765625" style="107" customWidth="1"/>
    <col min="6411" max="6413" width="3.09765625" style="107" bestFit="1" customWidth="1"/>
    <col min="6414" max="6414" width="3.09765625" style="107" customWidth="1"/>
    <col min="6415" max="6415" width="3.296875" style="107" bestFit="1" customWidth="1"/>
    <col min="6416" max="6416" width="5.296875" style="107" bestFit="1" customWidth="1"/>
    <col min="6417" max="6418" width="3.296875" style="107" customWidth="1"/>
    <col min="6419" max="6421" width="4.59765625" style="107" customWidth="1"/>
    <col min="6422" max="6423" width="3.796875" style="107" customWidth="1"/>
    <col min="6424" max="6424" width="4.296875" style="107" customWidth="1"/>
    <col min="6425" max="6426" width="3.796875" style="107" customWidth="1"/>
    <col min="6427" max="6428" width="4.59765625" style="107" customWidth="1"/>
    <col min="6429" max="6431" width="3.59765625" style="107" customWidth="1"/>
    <col min="6432" max="6432" width="5.09765625" style="107" customWidth="1"/>
    <col min="6433" max="6433" width="4" style="107" customWidth="1"/>
    <col min="6434" max="6434" width="4.69921875" style="107" customWidth="1"/>
    <col min="6435" max="6436" width="3.296875" style="107" customWidth="1"/>
    <col min="6437" max="6437" width="6.69921875" style="107"/>
    <col min="6438" max="6439" width="2.59765625" style="107" customWidth="1"/>
    <col min="6440" max="6656" width="6.69921875" style="107"/>
    <col min="6657" max="6657" width="3.59765625" style="107" customWidth="1"/>
    <col min="6658" max="6660" width="5.296875" style="107" customWidth="1"/>
    <col min="6661" max="6666" width="4.09765625" style="107" customWidth="1"/>
    <col min="6667" max="6669" width="3.09765625" style="107" bestFit="1" customWidth="1"/>
    <col min="6670" max="6670" width="3.09765625" style="107" customWidth="1"/>
    <col min="6671" max="6671" width="3.296875" style="107" bestFit="1" customWidth="1"/>
    <col min="6672" max="6672" width="5.296875" style="107" bestFit="1" customWidth="1"/>
    <col min="6673" max="6674" width="3.296875" style="107" customWidth="1"/>
    <col min="6675" max="6677" width="4.59765625" style="107" customWidth="1"/>
    <col min="6678" max="6679" width="3.796875" style="107" customWidth="1"/>
    <col min="6680" max="6680" width="4.296875" style="107" customWidth="1"/>
    <col min="6681" max="6682" width="3.796875" style="107" customWidth="1"/>
    <col min="6683" max="6684" width="4.59765625" style="107" customWidth="1"/>
    <col min="6685" max="6687" width="3.59765625" style="107" customWidth="1"/>
    <col min="6688" max="6688" width="5.09765625" style="107" customWidth="1"/>
    <col min="6689" max="6689" width="4" style="107" customWidth="1"/>
    <col min="6690" max="6690" width="4.69921875" style="107" customWidth="1"/>
    <col min="6691" max="6692" width="3.296875" style="107" customWidth="1"/>
    <col min="6693" max="6693" width="6.69921875" style="107"/>
    <col min="6694" max="6695" width="2.59765625" style="107" customWidth="1"/>
    <col min="6696" max="6912" width="6.69921875" style="107"/>
    <col min="6913" max="6913" width="3.59765625" style="107" customWidth="1"/>
    <col min="6914" max="6916" width="5.296875" style="107" customWidth="1"/>
    <col min="6917" max="6922" width="4.09765625" style="107" customWidth="1"/>
    <col min="6923" max="6925" width="3.09765625" style="107" bestFit="1" customWidth="1"/>
    <col min="6926" max="6926" width="3.09765625" style="107" customWidth="1"/>
    <col min="6927" max="6927" width="3.296875" style="107" bestFit="1" customWidth="1"/>
    <col min="6928" max="6928" width="5.296875" style="107" bestFit="1" customWidth="1"/>
    <col min="6929" max="6930" width="3.296875" style="107" customWidth="1"/>
    <col min="6931" max="6933" width="4.59765625" style="107" customWidth="1"/>
    <col min="6934" max="6935" width="3.796875" style="107" customWidth="1"/>
    <col min="6936" max="6936" width="4.296875" style="107" customWidth="1"/>
    <col min="6937" max="6938" width="3.796875" style="107" customWidth="1"/>
    <col min="6939" max="6940" width="4.59765625" style="107" customWidth="1"/>
    <col min="6941" max="6943" width="3.59765625" style="107" customWidth="1"/>
    <col min="6944" max="6944" width="5.09765625" style="107" customWidth="1"/>
    <col min="6945" max="6945" width="4" style="107" customWidth="1"/>
    <col min="6946" max="6946" width="4.69921875" style="107" customWidth="1"/>
    <col min="6947" max="6948" width="3.296875" style="107" customWidth="1"/>
    <col min="6949" max="6949" width="6.69921875" style="107"/>
    <col min="6950" max="6951" width="2.59765625" style="107" customWidth="1"/>
    <col min="6952" max="7168" width="6.69921875" style="107"/>
    <col min="7169" max="7169" width="3.59765625" style="107" customWidth="1"/>
    <col min="7170" max="7172" width="5.296875" style="107" customWidth="1"/>
    <col min="7173" max="7178" width="4.09765625" style="107" customWidth="1"/>
    <col min="7179" max="7181" width="3.09765625" style="107" bestFit="1" customWidth="1"/>
    <col min="7182" max="7182" width="3.09765625" style="107" customWidth="1"/>
    <col min="7183" max="7183" width="3.296875" style="107" bestFit="1" customWidth="1"/>
    <col min="7184" max="7184" width="5.296875" style="107" bestFit="1" customWidth="1"/>
    <col min="7185" max="7186" width="3.296875" style="107" customWidth="1"/>
    <col min="7187" max="7189" width="4.59765625" style="107" customWidth="1"/>
    <col min="7190" max="7191" width="3.796875" style="107" customWidth="1"/>
    <col min="7192" max="7192" width="4.296875" style="107" customWidth="1"/>
    <col min="7193" max="7194" width="3.796875" style="107" customWidth="1"/>
    <col min="7195" max="7196" width="4.59765625" style="107" customWidth="1"/>
    <col min="7197" max="7199" width="3.59765625" style="107" customWidth="1"/>
    <col min="7200" max="7200" width="5.09765625" style="107" customWidth="1"/>
    <col min="7201" max="7201" width="4" style="107" customWidth="1"/>
    <col min="7202" max="7202" width="4.69921875" style="107" customWidth="1"/>
    <col min="7203" max="7204" width="3.296875" style="107" customWidth="1"/>
    <col min="7205" max="7205" width="6.69921875" style="107"/>
    <col min="7206" max="7207" width="2.59765625" style="107" customWidth="1"/>
    <col min="7208" max="7424" width="6.69921875" style="107"/>
    <col min="7425" max="7425" width="3.59765625" style="107" customWidth="1"/>
    <col min="7426" max="7428" width="5.296875" style="107" customWidth="1"/>
    <col min="7429" max="7434" width="4.09765625" style="107" customWidth="1"/>
    <col min="7435" max="7437" width="3.09765625" style="107" bestFit="1" customWidth="1"/>
    <col min="7438" max="7438" width="3.09765625" style="107" customWidth="1"/>
    <col min="7439" max="7439" width="3.296875" style="107" bestFit="1" customWidth="1"/>
    <col min="7440" max="7440" width="5.296875" style="107" bestFit="1" customWidth="1"/>
    <col min="7441" max="7442" width="3.296875" style="107" customWidth="1"/>
    <col min="7443" max="7445" width="4.59765625" style="107" customWidth="1"/>
    <col min="7446" max="7447" width="3.796875" style="107" customWidth="1"/>
    <col min="7448" max="7448" width="4.296875" style="107" customWidth="1"/>
    <col min="7449" max="7450" width="3.796875" style="107" customWidth="1"/>
    <col min="7451" max="7452" width="4.59765625" style="107" customWidth="1"/>
    <col min="7453" max="7455" width="3.59765625" style="107" customWidth="1"/>
    <col min="7456" max="7456" width="5.09765625" style="107" customWidth="1"/>
    <col min="7457" max="7457" width="4" style="107" customWidth="1"/>
    <col min="7458" max="7458" width="4.69921875" style="107" customWidth="1"/>
    <col min="7459" max="7460" width="3.296875" style="107" customWidth="1"/>
    <col min="7461" max="7461" width="6.69921875" style="107"/>
    <col min="7462" max="7463" width="2.59765625" style="107" customWidth="1"/>
    <col min="7464" max="7680" width="6.69921875" style="107"/>
    <col min="7681" max="7681" width="3.59765625" style="107" customWidth="1"/>
    <col min="7682" max="7684" width="5.296875" style="107" customWidth="1"/>
    <col min="7685" max="7690" width="4.09765625" style="107" customWidth="1"/>
    <col min="7691" max="7693" width="3.09765625" style="107" bestFit="1" customWidth="1"/>
    <col min="7694" max="7694" width="3.09765625" style="107" customWidth="1"/>
    <col min="7695" max="7695" width="3.296875" style="107" bestFit="1" customWidth="1"/>
    <col min="7696" max="7696" width="5.296875" style="107" bestFit="1" customWidth="1"/>
    <col min="7697" max="7698" width="3.296875" style="107" customWidth="1"/>
    <col min="7699" max="7701" width="4.59765625" style="107" customWidth="1"/>
    <col min="7702" max="7703" width="3.796875" style="107" customWidth="1"/>
    <col min="7704" max="7704" width="4.296875" style="107" customWidth="1"/>
    <col min="7705" max="7706" width="3.796875" style="107" customWidth="1"/>
    <col min="7707" max="7708" width="4.59765625" style="107" customWidth="1"/>
    <col min="7709" max="7711" width="3.59765625" style="107" customWidth="1"/>
    <col min="7712" max="7712" width="5.09765625" style="107" customWidth="1"/>
    <col min="7713" max="7713" width="4" style="107" customWidth="1"/>
    <col min="7714" max="7714" width="4.69921875" style="107" customWidth="1"/>
    <col min="7715" max="7716" width="3.296875" style="107" customWidth="1"/>
    <col min="7717" max="7717" width="6.69921875" style="107"/>
    <col min="7718" max="7719" width="2.59765625" style="107" customWidth="1"/>
    <col min="7720" max="7936" width="6.69921875" style="107"/>
    <col min="7937" max="7937" width="3.59765625" style="107" customWidth="1"/>
    <col min="7938" max="7940" width="5.296875" style="107" customWidth="1"/>
    <col min="7941" max="7946" width="4.09765625" style="107" customWidth="1"/>
    <col min="7947" max="7949" width="3.09765625" style="107" bestFit="1" customWidth="1"/>
    <col min="7950" max="7950" width="3.09765625" style="107" customWidth="1"/>
    <col min="7951" max="7951" width="3.296875" style="107" bestFit="1" customWidth="1"/>
    <col min="7952" max="7952" width="5.296875" style="107" bestFit="1" customWidth="1"/>
    <col min="7953" max="7954" width="3.296875" style="107" customWidth="1"/>
    <col min="7955" max="7957" width="4.59765625" style="107" customWidth="1"/>
    <col min="7958" max="7959" width="3.796875" style="107" customWidth="1"/>
    <col min="7960" max="7960" width="4.296875" style="107" customWidth="1"/>
    <col min="7961" max="7962" width="3.796875" style="107" customWidth="1"/>
    <col min="7963" max="7964" width="4.59765625" style="107" customWidth="1"/>
    <col min="7965" max="7967" width="3.59765625" style="107" customWidth="1"/>
    <col min="7968" max="7968" width="5.09765625" style="107" customWidth="1"/>
    <col min="7969" max="7969" width="4" style="107" customWidth="1"/>
    <col min="7970" max="7970" width="4.69921875" style="107" customWidth="1"/>
    <col min="7971" max="7972" width="3.296875" style="107" customWidth="1"/>
    <col min="7973" max="7973" width="6.69921875" style="107"/>
    <col min="7974" max="7975" width="2.59765625" style="107" customWidth="1"/>
    <col min="7976" max="8192" width="6.69921875" style="107"/>
    <col min="8193" max="8193" width="3.59765625" style="107" customWidth="1"/>
    <col min="8194" max="8196" width="5.296875" style="107" customWidth="1"/>
    <col min="8197" max="8202" width="4.09765625" style="107" customWidth="1"/>
    <col min="8203" max="8205" width="3.09765625" style="107" bestFit="1" customWidth="1"/>
    <col min="8206" max="8206" width="3.09765625" style="107" customWidth="1"/>
    <col min="8207" max="8207" width="3.296875" style="107" bestFit="1" customWidth="1"/>
    <col min="8208" max="8208" width="5.296875" style="107" bestFit="1" customWidth="1"/>
    <col min="8209" max="8210" width="3.296875" style="107" customWidth="1"/>
    <col min="8211" max="8213" width="4.59765625" style="107" customWidth="1"/>
    <col min="8214" max="8215" width="3.796875" style="107" customWidth="1"/>
    <col min="8216" max="8216" width="4.296875" style="107" customWidth="1"/>
    <col min="8217" max="8218" width="3.796875" style="107" customWidth="1"/>
    <col min="8219" max="8220" width="4.59765625" style="107" customWidth="1"/>
    <col min="8221" max="8223" width="3.59765625" style="107" customWidth="1"/>
    <col min="8224" max="8224" width="5.09765625" style="107" customWidth="1"/>
    <col min="8225" max="8225" width="4" style="107" customWidth="1"/>
    <col min="8226" max="8226" width="4.69921875" style="107" customWidth="1"/>
    <col min="8227" max="8228" width="3.296875" style="107" customWidth="1"/>
    <col min="8229" max="8229" width="6.69921875" style="107"/>
    <col min="8230" max="8231" width="2.59765625" style="107" customWidth="1"/>
    <col min="8232" max="8448" width="6.69921875" style="107"/>
    <col min="8449" max="8449" width="3.59765625" style="107" customWidth="1"/>
    <col min="8450" max="8452" width="5.296875" style="107" customWidth="1"/>
    <col min="8453" max="8458" width="4.09765625" style="107" customWidth="1"/>
    <col min="8459" max="8461" width="3.09765625" style="107" bestFit="1" customWidth="1"/>
    <col min="8462" max="8462" width="3.09765625" style="107" customWidth="1"/>
    <col min="8463" max="8463" width="3.296875" style="107" bestFit="1" customWidth="1"/>
    <col min="8464" max="8464" width="5.296875" style="107" bestFit="1" customWidth="1"/>
    <col min="8465" max="8466" width="3.296875" style="107" customWidth="1"/>
    <col min="8467" max="8469" width="4.59765625" style="107" customWidth="1"/>
    <col min="8470" max="8471" width="3.796875" style="107" customWidth="1"/>
    <col min="8472" max="8472" width="4.296875" style="107" customWidth="1"/>
    <col min="8473" max="8474" width="3.796875" style="107" customWidth="1"/>
    <col min="8475" max="8476" width="4.59765625" style="107" customWidth="1"/>
    <col min="8477" max="8479" width="3.59765625" style="107" customWidth="1"/>
    <col min="8480" max="8480" width="5.09765625" style="107" customWidth="1"/>
    <col min="8481" max="8481" width="4" style="107" customWidth="1"/>
    <col min="8482" max="8482" width="4.69921875" style="107" customWidth="1"/>
    <col min="8483" max="8484" width="3.296875" style="107" customWidth="1"/>
    <col min="8485" max="8485" width="6.69921875" style="107"/>
    <col min="8486" max="8487" width="2.59765625" style="107" customWidth="1"/>
    <col min="8488" max="8704" width="6.69921875" style="107"/>
    <col min="8705" max="8705" width="3.59765625" style="107" customWidth="1"/>
    <col min="8706" max="8708" width="5.296875" style="107" customWidth="1"/>
    <col min="8709" max="8714" width="4.09765625" style="107" customWidth="1"/>
    <col min="8715" max="8717" width="3.09765625" style="107" bestFit="1" customWidth="1"/>
    <col min="8718" max="8718" width="3.09765625" style="107" customWidth="1"/>
    <col min="8719" max="8719" width="3.296875" style="107" bestFit="1" customWidth="1"/>
    <col min="8720" max="8720" width="5.296875" style="107" bestFit="1" customWidth="1"/>
    <col min="8721" max="8722" width="3.296875" style="107" customWidth="1"/>
    <col min="8723" max="8725" width="4.59765625" style="107" customWidth="1"/>
    <col min="8726" max="8727" width="3.796875" style="107" customWidth="1"/>
    <col min="8728" max="8728" width="4.296875" style="107" customWidth="1"/>
    <col min="8729" max="8730" width="3.796875" style="107" customWidth="1"/>
    <col min="8731" max="8732" width="4.59765625" style="107" customWidth="1"/>
    <col min="8733" max="8735" width="3.59765625" style="107" customWidth="1"/>
    <col min="8736" max="8736" width="5.09765625" style="107" customWidth="1"/>
    <col min="8737" max="8737" width="4" style="107" customWidth="1"/>
    <col min="8738" max="8738" width="4.69921875" style="107" customWidth="1"/>
    <col min="8739" max="8740" width="3.296875" style="107" customWidth="1"/>
    <col min="8741" max="8741" width="6.69921875" style="107"/>
    <col min="8742" max="8743" width="2.59765625" style="107" customWidth="1"/>
    <col min="8744" max="8960" width="6.69921875" style="107"/>
    <col min="8961" max="8961" width="3.59765625" style="107" customWidth="1"/>
    <col min="8962" max="8964" width="5.296875" style="107" customWidth="1"/>
    <col min="8965" max="8970" width="4.09765625" style="107" customWidth="1"/>
    <col min="8971" max="8973" width="3.09765625" style="107" bestFit="1" customWidth="1"/>
    <col min="8974" max="8974" width="3.09765625" style="107" customWidth="1"/>
    <col min="8975" max="8975" width="3.296875" style="107" bestFit="1" customWidth="1"/>
    <col min="8976" max="8976" width="5.296875" style="107" bestFit="1" customWidth="1"/>
    <col min="8977" max="8978" width="3.296875" style="107" customWidth="1"/>
    <col min="8979" max="8981" width="4.59765625" style="107" customWidth="1"/>
    <col min="8982" max="8983" width="3.796875" style="107" customWidth="1"/>
    <col min="8984" max="8984" width="4.296875" style="107" customWidth="1"/>
    <col min="8985" max="8986" width="3.796875" style="107" customWidth="1"/>
    <col min="8987" max="8988" width="4.59765625" style="107" customWidth="1"/>
    <col min="8989" max="8991" width="3.59765625" style="107" customWidth="1"/>
    <col min="8992" max="8992" width="5.09765625" style="107" customWidth="1"/>
    <col min="8993" max="8993" width="4" style="107" customWidth="1"/>
    <col min="8994" max="8994" width="4.69921875" style="107" customWidth="1"/>
    <col min="8995" max="8996" width="3.296875" style="107" customWidth="1"/>
    <col min="8997" max="8997" width="6.69921875" style="107"/>
    <col min="8998" max="8999" width="2.59765625" style="107" customWidth="1"/>
    <col min="9000" max="9216" width="6.69921875" style="107"/>
    <col min="9217" max="9217" width="3.59765625" style="107" customWidth="1"/>
    <col min="9218" max="9220" width="5.296875" style="107" customWidth="1"/>
    <col min="9221" max="9226" width="4.09765625" style="107" customWidth="1"/>
    <col min="9227" max="9229" width="3.09765625" style="107" bestFit="1" customWidth="1"/>
    <col min="9230" max="9230" width="3.09765625" style="107" customWidth="1"/>
    <col min="9231" max="9231" width="3.296875" style="107" bestFit="1" customWidth="1"/>
    <col min="9232" max="9232" width="5.296875" style="107" bestFit="1" customWidth="1"/>
    <col min="9233" max="9234" width="3.296875" style="107" customWidth="1"/>
    <col min="9235" max="9237" width="4.59765625" style="107" customWidth="1"/>
    <col min="9238" max="9239" width="3.796875" style="107" customWidth="1"/>
    <col min="9240" max="9240" width="4.296875" style="107" customWidth="1"/>
    <col min="9241" max="9242" width="3.796875" style="107" customWidth="1"/>
    <col min="9243" max="9244" width="4.59765625" style="107" customWidth="1"/>
    <col min="9245" max="9247" width="3.59765625" style="107" customWidth="1"/>
    <col min="9248" max="9248" width="5.09765625" style="107" customWidth="1"/>
    <col min="9249" max="9249" width="4" style="107" customWidth="1"/>
    <col min="9250" max="9250" width="4.69921875" style="107" customWidth="1"/>
    <col min="9251" max="9252" width="3.296875" style="107" customWidth="1"/>
    <col min="9253" max="9253" width="6.69921875" style="107"/>
    <col min="9254" max="9255" width="2.59765625" style="107" customWidth="1"/>
    <col min="9256" max="9472" width="6.69921875" style="107"/>
    <col min="9473" max="9473" width="3.59765625" style="107" customWidth="1"/>
    <col min="9474" max="9476" width="5.296875" style="107" customWidth="1"/>
    <col min="9477" max="9482" width="4.09765625" style="107" customWidth="1"/>
    <col min="9483" max="9485" width="3.09765625" style="107" bestFit="1" customWidth="1"/>
    <col min="9486" max="9486" width="3.09765625" style="107" customWidth="1"/>
    <col min="9487" max="9487" width="3.296875" style="107" bestFit="1" customWidth="1"/>
    <col min="9488" max="9488" width="5.296875" style="107" bestFit="1" customWidth="1"/>
    <col min="9489" max="9490" width="3.296875" style="107" customWidth="1"/>
    <col min="9491" max="9493" width="4.59765625" style="107" customWidth="1"/>
    <col min="9494" max="9495" width="3.796875" style="107" customWidth="1"/>
    <col min="9496" max="9496" width="4.296875" style="107" customWidth="1"/>
    <col min="9497" max="9498" width="3.796875" style="107" customWidth="1"/>
    <col min="9499" max="9500" width="4.59765625" style="107" customWidth="1"/>
    <col min="9501" max="9503" width="3.59765625" style="107" customWidth="1"/>
    <col min="9504" max="9504" width="5.09765625" style="107" customWidth="1"/>
    <col min="9505" max="9505" width="4" style="107" customWidth="1"/>
    <col min="9506" max="9506" width="4.69921875" style="107" customWidth="1"/>
    <col min="9507" max="9508" width="3.296875" style="107" customWidth="1"/>
    <col min="9509" max="9509" width="6.69921875" style="107"/>
    <col min="9510" max="9511" width="2.59765625" style="107" customWidth="1"/>
    <col min="9512" max="9728" width="6.69921875" style="107"/>
    <col min="9729" max="9729" width="3.59765625" style="107" customWidth="1"/>
    <col min="9730" max="9732" width="5.296875" style="107" customWidth="1"/>
    <col min="9733" max="9738" width="4.09765625" style="107" customWidth="1"/>
    <col min="9739" max="9741" width="3.09765625" style="107" bestFit="1" customWidth="1"/>
    <col min="9742" max="9742" width="3.09765625" style="107" customWidth="1"/>
    <col min="9743" max="9743" width="3.296875" style="107" bestFit="1" customWidth="1"/>
    <col min="9744" max="9744" width="5.296875" style="107" bestFit="1" customWidth="1"/>
    <col min="9745" max="9746" width="3.296875" style="107" customWidth="1"/>
    <col min="9747" max="9749" width="4.59765625" style="107" customWidth="1"/>
    <col min="9750" max="9751" width="3.796875" style="107" customWidth="1"/>
    <col min="9752" max="9752" width="4.296875" style="107" customWidth="1"/>
    <col min="9753" max="9754" width="3.796875" style="107" customWidth="1"/>
    <col min="9755" max="9756" width="4.59765625" style="107" customWidth="1"/>
    <col min="9757" max="9759" width="3.59765625" style="107" customWidth="1"/>
    <col min="9760" max="9760" width="5.09765625" style="107" customWidth="1"/>
    <col min="9761" max="9761" width="4" style="107" customWidth="1"/>
    <col min="9762" max="9762" width="4.69921875" style="107" customWidth="1"/>
    <col min="9763" max="9764" width="3.296875" style="107" customWidth="1"/>
    <col min="9765" max="9765" width="6.69921875" style="107"/>
    <col min="9766" max="9767" width="2.59765625" style="107" customWidth="1"/>
    <col min="9768" max="9984" width="6.69921875" style="107"/>
    <col min="9985" max="9985" width="3.59765625" style="107" customWidth="1"/>
    <col min="9986" max="9988" width="5.296875" style="107" customWidth="1"/>
    <col min="9989" max="9994" width="4.09765625" style="107" customWidth="1"/>
    <col min="9995" max="9997" width="3.09765625" style="107" bestFit="1" customWidth="1"/>
    <col min="9998" max="9998" width="3.09765625" style="107" customWidth="1"/>
    <col min="9999" max="9999" width="3.296875" style="107" bestFit="1" customWidth="1"/>
    <col min="10000" max="10000" width="5.296875" style="107" bestFit="1" customWidth="1"/>
    <col min="10001" max="10002" width="3.296875" style="107" customWidth="1"/>
    <col min="10003" max="10005" width="4.59765625" style="107" customWidth="1"/>
    <col min="10006" max="10007" width="3.796875" style="107" customWidth="1"/>
    <col min="10008" max="10008" width="4.296875" style="107" customWidth="1"/>
    <col min="10009" max="10010" width="3.796875" style="107" customWidth="1"/>
    <col min="10011" max="10012" width="4.59765625" style="107" customWidth="1"/>
    <col min="10013" max="10015" width="3.59765625" style="107" customWidth="1"/>
    <col min="10016" max="10016" width="5.09765625" style="107" customWidth="1"/>
    <col min="10017" max="10017" width="4" style="107" customWidth="1"/>
    <col min="10018" max="10018" width="4.69921875" style="107" customWidth="1"/>
    <col min="10019" max="10020" width="3.296875" style="107" customWidth="1"/>
    <col min="10021" max="10021" width="6.69921875" style="107"/>
    <col min="10022" max="10023" width="2.59765625" style="107" customWidth="1"/>
    <col min="10024" max="10240" width="6.69921875" style="107"/>
    <col min="10241" max="10241" width="3.59765625" style="107" customWidth="1"/>
    <col min="10242" max="10244" width="5.296875" style="107" customWidth="1"/>
    <col min="10245" max="10250" width="4.09765625" style="107" customWidth="1"/>
    <col min="10251" max="10253" width="3.09765625" style="107" bestFit="1" customWidth="1"/>
    <col min="10254" max="10254" width="3.09765625" style="107" customWidth="1"/>
    <col min="10255" max="10255" width="3.296875" style="107" bestFit="1" customWidth="1"/>
    <col min="10256" max="10256" width="5.296875" style="107" bestFit="1" customWidth="1"/>
    <col min="10257" max="10258" width="3.296875" style="107" customWidth="1"/>
    <col min="10259" max="10261" width="4.59765625" style="107" customWidth="1"/>
    <col min="10262" max="10263" width="3.796875" style="107" customWidth="1"/>
    <col min="10264" max="10264" width="4.296875" style="107" customWidth="1"/>
    <col min="10265" max="10266" width="3.796875" style="107" customWidth="1"/>
    <col min="10267" max="10268" width="4.59765625" style="107" customWidth="1"/>
    <col min="10269" max="10271" width="3.59765625" style="107" customWidth="1"/>
    <col min="10272" max="10272" width="5.09765625" style="107" customWidth="1"/>
    <col min="10273" max="10273" width="4" style="107" customWidth="1"/>
    <col min="10274" max="10274" width="4.69921875" style="107" customWidth="1"/>
    <col min="10275" max="10276" width="3.296875" style="107" customWidth="1"/>
    <col min="10277" max="10277" width="6.69921875" style="107"/>
    <col min="10278" max="10279" width="2.59765625" style="107" customWidth="1"/>
    <col min="10280" max="10496" width="6.69921875" style="107"/>
    <col min="10497" max="10497" width="3.59765625" style="107" customWidth="1"/>
    <col min="10498" max="10500" width="5.296875" style="107" customWidth="1"/>
    <col min="10501" max="10506" width="4.09765625" style="107" customWidth="1"/>
    <col min="10507" max="10509" width="3.09765625" style="107" bestFit="1" customWidth="1"/>
    <col min="10510" max="10510" width="3.09765625" style="107" customWidth="1"/>
    <col min="10511" max="10511" width="3.296875" style="107" bestFit="1" customWidth="1"/>
    <col min="10512" max="10512" width="5.296875" style="107" bestFit="1" customWidth="1"/>
    <col min="10513" max="10514" width="3.296875" style="107" customWidth="1"/>
    <col min="10515" max="10517" width="4.59765625" style="107" customWidth="1"/>
    <col min="10518" max="10519" width="3.796875" style="107" customWidth="1"/>
    <col min="10520" max="10520" width="4.296875" style="107" customWidth="1"/>
    <col min="10521" max="10522" width="3.796875" style="107" customWidth="1"/>
    <col min="10523" max="10524" width="4.59765625" style="107" customWidth="1"/>
    <col min="10525" max="10527" width="3.59765625" style="107" customWidth="1"/>
    <col min="10528" max="10528" width="5.09765625" style="107" customWidth="1"/>
    <col min="10529" max="10529" width="4" style="107" customWidth="1"/>
    <col min="10530" max="10530" width="4.69921875" style="107" customWidth="1"/>
    <col min="10531" max="10532" width="3.296875" style="107" customWidth="1"/>
    <col min="10533" max="10533" width="6.69921875" style="107"/>
    <col min="10534" max="10535" width="2.59765625" style="107" customWidth="1"/>
    <col min="10536" max="10752" width="6.69921875" style="107"/>
    <col min="10753" max="10753" width="3.59765625" style="107" customWidth="1"/>
    <col min="10754" max="10756" width="5.296875" style="107" customWidth="1"/>
    <col min="10757" max="10762" width="4.09765625" style="107" customWidth="1"/>
    <col min="10763" max="10765" width="3.09765625" style="107" bestFit="1" customWidth="1"/>
    <col min="10766" max="10766" width="3.09765625" style="107" customWidth="1"/>
    <col min="10767" max="10767" width="3.296875" style="107" bestFit="1" customWidth="1"/>
    <col min="10768" max="10768" width="5.296875" style="107" bestFit="1" customWidth="1"/>
    <col min="10769" max="10770" width="3.296875" style="107" customWidth="1"/>
    <col min="10771" max="10773" width="4.59765625" style="107" customWidth="1"/>
    <col min="10774" max="10775" width="3.796875" style="107" customWidth="1"/>
    <col min="10776" max="10776" width="4.296875" style="107" customWidth="1"/>
    <col min="10777" max="10778" width="3.796875" style="107" customWidth="1"/>
    <col min="10779" max="10780" width="4.59765625" style="107" customWidth="1"/>
    <col min="10781" max="10783" width="3.59765625" style="107" customWidth="1"/>
    <col min="10784" max="10784" width="5.09765625" style="107" customWidth="1"/>
    <col min="10785" max="10785" width="4" style="107" customWidth="1"/>
    <col min="10786" max="10786" width="4.69921875" style="107" customWidth="1"/>
    <col min="10787" max="10788" width="3.296875" style="107" customWidth="1"/>
    <col min="10789" max="10789" width="6.69921875" style="107"/>
    <col min="10790" max="10791" width="2.59765625" style="107" customWidth="1"/>
    <col min="10792" max="11008" width="6.69921875" style="107"/>
    <col min="11009" max="11009" width="3.59765625" style="107" customWidth="1"/>
    <col min="11010" max="11012" width="5.296875" style="107" customWidth="1"/>
    <col min="11013" max="11018" width="4.09765625" style="107" customWidth="1"/>
    <col min="11019" max="11021" width="3.09765625" style="107" bestFit="1" customWidth="1"/>
    <col min="11022" max="11022" width="3.09765625" style="107" customWidth="1"/>
    <col min="11023" max="11023" width="3.296875" style="107" bestFit="1" customWidth="1"/>
    <col min="11024" max="11024" width="5.296875" style="107" bestFit="1" customWidth="1"/>
    <col min="11025" max="11026" width="3.296875" style="107" customWidth="1"/>
    <col min="11027" max="11029" width="4.59765625" style="107" customWidth="1"/>
    <col min="11030" max="11031" width="3.796875" style="107" customWidth="1"/>
    <col min="11032" max="11032" width="4.296875" style="107" customWidth="1"/>
    <col min="11033" max="11034" width="3.796875" style="107" customWidth="1"/>
    <col min="11035" max="11036" width="4.59765625" style="107" customWidth="1"/>
    <col min="11037" max="11039" width="3.59765625" style="107" customWidth="1"/>
    <col min="11040" max="11040" width="5.09765625" style="107" customWidth="1"/>
    <col min="11041" max="11041" width="4" style="107" customWidth="1"/>
    <col min="11042" max="11042" width="4.69921875" style="107" customWidth="1"/>
    <col min="11043" max="11044" width="3.296875" style="107" customWidth="1"/>
    <col min="11045" max="11045" width="6.69921875" style="107"/>
    <col min="11046" max="11047" width="2.59765625" style="107" customWidth="1"/>
    <col min="11048" max="11264" width="6.69921875" style="107"/>
    <col min="11265" max="11265" width="3.59765625" style="107" customWidth="1"/>
    <col min="11266" max="11268" width="5.296875" style="107" customWidth="1"/>
    <col min="11269" max="11274" width="4.09765625" style="107" customWidth="1"/>
    <col min="11275" max="11277" width="3.09765625" style="107" bestFit="1" customWidth="1"/>
    <col min="11278" max="11278" width="3.09765625" style="107" customWidth="1"/>
    <col min="11279" max="11279" width="3.296875" style="107" bestFit="1" customWidth="1"/>
    <col min="11280" max="11280" width="5.296875" style="107" bestFit="1" customWidth="1"/>
    <col min="11281" max="11282" width="3.296875" style="107" customWidth="1"/>
    <col min="11283" max="11285" width="4.59765625" style="107" customWidth="1"/>
    <col min="11286" max="11287" width="3.796875" style="107" customWidth="1"/>
    <col min="11288" max="11288" width="4.296875" style="107" customWidth="1"/>
    <col min="11289" max="11290" width="3.796875" style="107" customWidth="1"/>
    <col min="11291" max="11292" width="4.59765625" style="107" customWidth="1"/>
    <col min="11293" max="11295" width="3.59765625" style="107" customWidth="1"/>
    <col min="11296" max="11296" width="5.09765625" style="107" customWidth="1"/>
    <col min="11297" max="11297" width="4" style="107" customWidth="1"/>
    <col min="11298" max="11298" width="4.69921875" style="107" customWidth="1"/>
    <col min="11299" max="11300" width="3.296875" style="107" customWidth="1"/>
    <col min="11301" max="11301" width="6.69921875" style="107"/>
    <col min="11302" max="11303" width="2.59765625" style="107" customWidth="1"/>
    <col min="11304" max="11520" width="6.69921875" style="107"/>
    <col min="11521" max="11521" width="3.59765625" style="107" customWidth="1"/>
    <col min="11522" max="11524" width="5.296875" style="107" customWidth="1"/>
    <col min="11525" max="11530" width="4.09765625" style="107" customWidth="1"/>
    <col min="11531" max="11533" width="3.09765625" style="107" bestFit="1" customWidth="1"/>
    <col min="11534" max="11534" width="3.09765625" style="107" customWidth="1"/>
    <col min="11535" max="11535" width="3.296875" style="107" bestFit="1" customWidth="1"/>
    <col min="11536" max="11536" width="5.296875" style="107" bestFit="1" customWidth="1"/>
    <col min="11537" max="11538" width="3.296875" style="107" customWidth="1"/>
    <col min="11539" max="11541" width="4.59765625" style="107" customWidth="1"/>
    <col min="11542" max="11543" width="3.796875" style="107" customWidth="1"/>
    <col min="11544" max="11544" width="4.296875" style="107" customWidth="1"/>
    <col min="11545" max="11546" width="3.796875" style="107" customWidth="1"/>
    <col min="11547" max="11548" width="4.59765625" style="107" customWidth="1"/>
    <col min="11549" max="11551" width="3.59765625" style="107" customWidth="1"/>
    <col min="11552" max="11552" width="5.09765625" style="107" customWidth="1"/>
    <col min="11553" max="11553" width="4" style="107" customWidth="1"/>
    <col min="11554" max="11554" width="4.69921875" style="107" customWidth="1"/>
    <col min="11555" max="11556" width="3.296875" style="107" customWidth="1"/>
    <col min="11557" max="11557" width="6.69921875" style="107"/>
    <col min="11558" max="11559" width="2.59765625" style="107" customWidth="1"/>
    <col min="11560" max="11776" width="6.69921875" style="107"/>
    <col min="11777" max="11777" width="3.59765625" style="107" customWidth="1"/>
    <col min="11778" max="11780" width="5.296875" style="107" customWidth="1"/>
    <col min="11781" max="11786" width="4.09765625" style="107" customWidth="1"/>
    <col min="11787" max="11789" width="3.09765625" style="107" bestFit="1" customWidth="1"/>
    <col min="11790" max="11790" width="3.09765625" style="107" customWidth="1"/>
    <col min="11791" max="11791" width="3.296875" style="107" bestFit="1" customWidth="1"/>
    <col min="11792" max="11792" width="5.296875" style="107" bestFit="1" customWidth="1"/>
    <col min="11793" max="11794" width="3.296875" style="107" customWidth="1"/>
    <col min="11795" max="11797" width="4.59765625" style="107" customWidth="1"/>
    <col min="11798" max="11799" width="3.796875" style="107" customWidth="1"/>
    <col min="11800" max="11800" width="4.296875" style="107" customWidth="1"/>
    <col min="11801" max="11802" width="3.796875" style="107" customWidth="1"/>
    <col min="11803" max="11804" width="4.59765625" style="107" customWidth="1"/>
    <col min="11805" max="11807" width="3.59765625" style="107" customWidth="1"/>
    <col min="11808" max="11808" width="5.09765625" style="107" customWidth="1"/>
    <col min="11809" max="11809" width="4" style="107" customWidth="1"/>
    <col min="11810" max="11810" width="4.69921875" style="107" customWidth="1"/>
    <col min="11811" max="11812" width="3.296875" style="107" customWidth="1"/>
    <col min="11813" max="11813" width="6.69921875" style="107"/>
    <col min="11814" max="11815" width="2.59765625" style="107" customWidth="1"/>
    <col min="11816" max="12032" width="6.69921875" style="107"/>
    <col min="12033" max="12033" width="3.59765625" style="107" customWidth="1"/>
    <col min="12034" max="12036" width="5.296875" style="107" customWidth="1"/>
    <col min="12037" max="12042" width="4.09765625" style="107" customWidth="1"/>
    <col min="12043" max="12045" width="3.09765625" style="107" bestFit="1" customWidth="1"/>
    <col min="12046" max="12046" width="3.09765625" style="107" customWidth="1"/>
    <col min="12047" max="12047" width="3.296875" style="107" bestFit="1" customWidth="1"/>
    <col min="12048" max="12048" width="5.296875" style="107" bestFit="1" customWidth="1"/>
    <col min="12049" max="12050" width="3.296875" style="107" customWidth="1"/>
    <col min="12051" max="12053" width="4.59765625" style="107" customWidth="1"/>
    <col min="12054" max="12055" width="3.796875" style="107" customWidth="1"/>
    <col min="12056" max="12056" width="4.296875" style="107" customWidth="1"/>
    <col min="12057" max="12058" width="3.796875" style="107" customWidth="1"/>
    <col min="12059" max="12060" width="4.59765625" style="107" customWidth="1"/>
    <col min="12061" max="12063" width="3.59765625" style="107" customWidth="1"/>
    <col min="12064" max="12064" width="5.09765625" style="107" customWidth="1"/>
    <col min="12065" max="12065" width="4" style="107" customWidth="1"/>
    <col min="12066" max="12066" width="4.69921875" style="107" customWidth="1"/>
    <col min="12067" max="12068" width="3.296875" style="107" customWidth="1"/>
    <col min="12069" max="12069" width="6.69921875" style="107"/>
    <col min="12070" max="12071" width="2.59765625" style="107" customWidth="1"/>
    <col min="12072" max="12288" width="6.69921875" style="107"/>
    <col min="12289" max="12289" width="3.59765625" style="107" customWidth="1"/>
    <col min="12290" max="12292" width="5.296875" style="107" customWidth="1"/>
    <col min="12293" max="12298" width="4.09765625" style="107" customWidth="1"/>
    <col min="12299" max="12301" width="3.09765625" style="107" bestFit="1" customWidth="1"/>
    <col min="12302" max="12302" width="3.09765625" style="107" customWidth="1"/>
    <col min="12303" max="12303" width="3.296875" style="107" bestFit="1" customWidth="1"/>
    <col min="12304" max="12304" width="5.296875" style="107" bestFit="1" customWidth="1"/>
    <col min="12305" max="12306" width="3.296875" style="107" customWidth="1"/>
    <col min="12307" max="12309" width="4.59765625" style="107" customWidth="1"/>
    <col min="12310" max="12311" width="3.796875" style="107" customWidth="1"/>
    <col min="12312" max="12312" width="4.296875" style="107" customWidth="1"/>
    <col min="12313" max="12314" width="3.796875" style="107" customWidth="1"/>
    <col min="12315" max="12316" width="4.59765625" style="107" customWidth="1"/>
    <col min="12317" max="12319" width="3.59765625" style="107" customWidth="1"/>
    <col min="12320" max="12320" width="5.09765625" style="107" customWidth="1"/>
    <col min="12321" max="12321" width="4" style="107" customWidth="1"/>
    <col min="12322" max="12322" width="4.69921875" style="107" customWidth="1"/>
    <col min="12323" max="12324" width="3.296875" style="107" customWidth="1"/>
    <col min="12325" max="12325" width="6.69921875" style="107"/>
    <col min="12326" max="12327" width="2.59765625" style="107" customWidth="1"/>
    <col min="12328" max="12544" width="6.69921875" style="107"/>
    <col min="12545" max="12545" width="3.59765625" style="107" customWidth="1"/>
    <col min="12546" max="12548" width="5.296875" style="107" customWidth="1"/>
    <col min="12549" max="12554" width="4.09765625" style="107" customWidth="1"/>
    <col min="12555" max="12557" width="3.09765625" style="107" bestFit="1" customWidth="1"/>
    <col min="12558" max="12558" width="3.09765625" style="107" customWidth="1"/>
    <col min="12559" max="12559" width="3.296875" style="107" bestFit="1" customWidth="1"/>
    <col min="12560" max="12560" width="5.296875" style="107" bestFit="1" customWidth="1"/>
    <col min="12561" max="12562" width="3.296875" style="107" customWidth="1"/>
    <col min="12563" max="12565" width="4.59765625" style="107" customWidth="1"/>
    <col min="12566" max="12567" width="3.796875" style="107" customWidth="1"/>
    <col min="12568" max="12568" width="4.296875" style="107" customWidth="1"/>
    <col min="12569" max="12570" width="3.796875" style="107" customWidth="1"/>
    <col min="12571" max="12572" width="4.59765625" style="107" customWidth="1"/>
    <col min="12573" max="12575" width="3.59765625" style="107" customWidth="1"/>
    <col min="12576" max="12576" width="5.09765625" style="107" customWidth="1"/>
    <col min="12577" max="12577" width="4" style="107" customWidth="1"/>
    <col min="12578" max="12578" width="4.69921875" style="107" customWidth="1"/>
    <col min="12579" max="12580" width="3.296875" style="107" customWidth="1"/>
    <col min="12581" max="12581" width="6.69921875" style="107"/>
    <col min="12582" max="12583" width="2.59765625" style="107" customWidth="1"/>
    <col min="12584" max="12800" width="6.69921875" style="107"/>
    <col min="12801" max="12801" width="3.59765625" style="107" customWidth="1"/>
    <col min="12802" max="12804" width="5.296875" style="107" customWidth="1"/>
    <col min="12805" max="12810" width="4.09765625" style="107" customWidth="1"/>
    <col min="12811" max="12813" width="3.09765625" style="107" bestFit="1" customWidth="1"/>
    <col min="12814" max="12814" width="3.09765625" style="107" customWidth="1"/>
    <col min="12815" max="12815" width="3.296875" style="107" bestFit="1" customWidth="1"/>
    <col min="12816" max="12816" width="5.296875" style="107" bestFit="1" customWidth="1"/>
    <col min="12817" max="12818" width="3.296875" style="107" customWidth="1"/>
    <col min="12819" max="12821" width="4.59765625" style="107" customWidth="1"/>
    <col min="12822" max="12823" width="3.796875" style="107" customWidth="1"/>
    <col min="12824" max="12824" width="4.296875" style="107" customWidth="1"/>
    <col min="12825" max="12826" width="3.796875" style="107" customWidth="1"/>
    <col min="12827" max="12828" width="4.59765625" style="107" customWidth="1"/>
    <col min="12829" max="12831" width="3.59765625" style="107" customWidth="1"/>
    <col min="12832" max="12832" width="5.09765625" style="107" customWidth="1"/>
    <col min="12833" max="12833" width="4" style="107" customWidth="1"/>
    <col min="12834" max="12834" width="4.69921875" style="107" customWidth="1"/>
    <col min="12835" max="12836" width="3.296875" style="107" customWidth="1"/>
    <col min="12837" max="12837" width="6.69921875" style="107"/>
    <col min="12838" max="12839" width="2.59765625" style="107" customWidth="1"/>
    <col min="12840" max="13056" width="6.69921875" style="107"/>
    <col min="13057" max="13057" width="3.59765625" style="107" customWidth="1"/>
    <col min="13058" max="13060" width="5.296875" style="107" customWidth="1"/>
    <col min="13061" max="13066" width="4.09765625" style="107" customWidth="1"/>
    <col min="13067" max="13069" width="3.09765625" style="107" bestFit="1" customWidth="1"/>
    <col min="13070" max="13070" width="3.09765625" style="107" customWidth="1"/>
    <col min="13071" max="13071" width="3.296875" style="107" bestFit="1" customWidth="1"/>
    <col min="13072" max="13072" width="5.296875" style="107" bestFit="1" customWidth="1"/>
    <col min="13073" max="13074" width="3.296875" style="107" customWidth="1"/>
    <col min="13075" max="13077" width="4.59765625" style="107" customWidth="1"/>
    <col min="13078" max="13079" width="3.796875" style="107" customWidth="1"/>
    <col min="13080" max="13080" width="4.296875" style="107" customWidth="1"/>
    <col min="13081" max="13082" width="3.796875" style="107" customWidth="1"/>
    <col min="13083" max="13084" width="4.59765625" style="107" customWidth="1"/>
    <col min="13085" max="13087" width="3.59765625" style="107" customWidth="1"/>
    <col min="13088" max="13088" width="5.09765625" style="107" customWidth="1"/>
    <col min="13089" max="13089" width="4" style="107" customWidth="1"/>
    <col min="13090" max="13090" width="4.69921875" style="107" customWidth="1"/>
    <col min="13091" max="13092" width="3.296875" style="107" customWidth="1"/>
    <col min="13093" max="13093" width="6.69921875" style="107"/>
    <col min="13094" max="13095" width="2.59765625" style="107" customWidth="1"/>
    <col min="13096" max="13312" width="6.69921875" style="107"/>
    <col min="13313" max="13313" width="3.59765625" style="107" customWidth="1"/>
    <col min="13314" max="13316" width="5.296875" style="107" customWidth="1"/>
    <col min="13317" max="13322" width="4.09765625" style="107" customWidth="1"/>
    <col min="13323" max="13325" width="3.09765625" style="107" bestFit="1" customWidth="1"/>
    <col min="13326" max="13326" width="3.09765625" style="107" customWidth="1"/>
    <col min="13327" max="13327" width="3.296875" style="107" bestFit="1" customWidth="1"/>
    <col min="13328" max="13328" width="5.296875" style="107" bestFit="1" customWidth="1"/>
    <col min="13329" max="13330" width="3.296875" style="107" customWidth="1"/>
    <col min="13331" max="13333" width="4.59765625" style="107" customWidth="1"/>
    <col min="13334" max="13335" width="3.796875" style="107" customWidth="1"/>
    <col min="13336" max="13336" width="4.296875" style="107" customWidth="1"/>
    <col min="13337" max="13338" width="3.796875" style="107" customWidth="1"/>
    <col min="13339" max="13340" width="4.59765625" style="107" customWidth="1"/>
    <col min="13341" max="13343" width="3.59765625" style="107" customWidth="1"/>
    <col min="13344" max="13344" width="5.09765625" style="107" customWidth="1"/>
    <col min="13345" max="13345" width="4" style="107" customWidth="1"/>
    <col min="13346" max="13346" width="4.69921875" style="107" customWidth="1"/>
    <col min="13347" max="13348" width="3.296875" style="107" customWidth="1"/>
    <col min="13349" max="13349" width="6.69921875" style="107"/>
    <col min="13350" max="13351" width="2.59765625" style="107" customWidth="1"/>
    <col min="13352" max="13568" width="6.69921875" style="107"/>
    <col min="13569" max="13569" width="3.59765625" style="107" customWidth="1"/>
    <col min="13570" max="13572" width="5.296875" style="107" customWidth="1"/>
    <col min="13573" max="13578" width="4.09765625" style="107" customWidth="1"/>
    <col min="13579" max="13581" width="3.09765625" style="107" bestFit="1" customWidth="1"/>
    <col min="13582" max="13582" width="3.09765625" style="107" customWidth="1"/>
    <col min="13583" max="13583" width="3.296875" style="107" bestFit="1" customWidth="1"/>
    <col min="13584" max="13584" width="5.296875" style="107" bestFit="1" customWidth="1"/>
    <col min="13585" max="13586" width="3.296875" style="107" customWidth="1"/>
    <col min="13587" max="13589" width="4.59765625" style="107" customWidth="1"/>
    <col min="13590" max="13591" width="3.796875" style="107" customWidth="1"/>
    <col min="13592" max="13592" width="4.296875" style="107" customWidth="1"/>
    <col min="13593" max="13594" width="3.796875" style="107" customWidth="1"/>
    <col min="13595" max="13596" width="4.59765625" style="107" customWidth="1"/>
    <col min="13597" max="13599" width="3.59765625" style="107" customWidth="1"/>
    <col min="13600" max="13600" width="5.09765625" style="107" customWidth="1"/>
    <col min="13601" max="13601" width="4" style="107" customWidth="1"/>
    <col min="13602" max="13602" width="4.69921875" style="107" customWidth="1"/>
    <col min="13603" max="13604" width="3.296875" style="107" customWidth="1"/>
    <col min="13605" max="13605" width="6.69921875" style="107"/>
    <col min="13606" max="13607" width="2.59765625" style="107" customWidth="1"/>
    <col min="13608" max="13824" width="6.69921875" style="107"/>
    <col min="13825" max="13825" width="3.59765625" style="107" customWidth="1"/>
    <col min="13826" max="13828" width="5.296875" style="107" customWidth="1"/>
    <col min="13829" max="13834" width="4.09765625" style="107" customWidth="1"/>
    <col min="13835" max="13837" width="3.09765625" style="107" bestFit="1" customWidth="1"/>
    <col min="13838" max="13838" width="3.09765625" style="107" customWidth="1"/>
    <col min="13839" max="13839" width="3.296875" style="107" bestFit="1" customWidth="1"/>
    <col min="13840" max="13840" width="5.296875" style="107" bestFit="1" customWidth="1"/>
    <col min="13841" max="13842" width="3.296875" style="107" customWidth="1"/>
    <col min="13843" max="13845" width="4.59765625" style="107" customWidth="1"/>
    <col min="13846" max="13847" width="3.796875" style="107" customWidth="1"/>
    <col min="13848" max="13848" width="4.296875" style="107" customWidth="1"/>
    <col min="13849" max="13850" width="3.796875" style="107" customWidth="1"/>
    <col min="13851" max="13852" width="4.59765625" style="107" customWidth="1"/>
    <col min="13853" max="13855" width="3.59765625" style="107" customWidth="1"/>
    <col min="13856" max="13856" width="5.09765625" style="107" customWidth="1"/>
    <col min="13857" max="13857" width="4" style="107" customWidth="1"/>
    <col min="13858" max="13858" width="4.69921875" style="107" customWidth="1"/>
    <col min="13859" max="13860" width="3.296875" style="107" customWidth="1"/>
    <col min="13861" max="13861" width="6.69921875" style="107"/>
    <col min="13862" max="13863" width="2.59765625" style="107" customWidth="1"/>
    <col min="13864" max="14080" width="6.69921875" style="107"/>
    <col min="14081" max="14081" width="3.59765625" style="107" customWidth="1"/>
    <col min="14082" max="14084" width="5.296875" style="107" customWidth="1"/>
    <col min="14085" max="14090" width="4.09765625" style="107" customWidth="1"/>
    <col min="14091" max="14093" width="3.09765625" style="107" bestFit="1" customWidth="1"/>
    <col min="14094" max="14094" width="3.09765625" style="107" customWidth="1"/>
    <col min="14095" max="14095" width="3.296875" style="107" bestFit="1" customWidth="1"/>
    <col min="14096" max="14096" width="5.296875" style="107" bestFit="1" customWidth="1"/>
    <col min="14097" max="14098" width="3.296875" style="107" customWidth="1"/>
    <col min="14099" max="14101" width="4.59765625" style="107" customWidth="1"/>
    <col min="14102" max="14103" width="3.796875" style="107" customWidth="1"/>
    <col min="14104" max="14104" width="4.296875" style="107" customWidth="1"/>
    <col min="14105" max="14106" width="3.796875" style="107" customWidth="1"/>
    <col min="14107" max="14108" width="4.59765625" style="107" customWidth="1"/>
    <col min="14109" max="14111" width="3.59765625" style="107" customWidth="1"/>
    <col min="14112" max="14112" width="5.09765625" style="107" customWidth="1"/>
    <col min="14113" max="14113" width="4" style="107" customWidth="1"/>
    <col min="14114" max="14114" width="4.69921875" style="107" customWidth="1"/>
    <col min="14115" max="14116" width="3.296875" style="107" customWidth="1"/>
    <col min="14117" max="14117" width="6.69921875" style="107"/>
    <col min="14118" max="14119" width="2.59765625" style="107" customWidth="1"/>
    <col min="14120" max="14336" width="6.69921875" style="107"/>
    <col min="14337" max="14337" width="3.59765625" style="107" customWidth="1"/>
    <col min="14338" max="14340" width="5.296875" style="107" customWidth="1"/>
    <col min="14341" max="14346" width="4.09765625" style="107" customWidth="1"/>
    <col min="14347" max="14349" width="3.09765625" style="107" bestFit="1" customWidth="1"/>
    <col min="14350" max="14350" width="3.09765625" style="107" customWidth="1"/>
    <col min="14351" max="14351" width="3.296875" style="107" bestFit="1" customWidth="1"/>
    <col min="14352" max="14352" width="5.296875" style="107" bestFit="1" customWidth="1"/>
    <col min="14353" max="14354" width="3.296875" style="107" customWidth="1"/>
    <col min="14355" max="14357" width="4.59765625" style="107" customWidth="1"/>
    <col min="14358" max="14359" width="3.796875" style="107" customWidth="1"/>
    <col min="14360" max="14360" width="4.296875" style="107" customWidth="1"/>
    <col min="14361" max="14362" width="3.796875" style="107" customWidth="1"/>
    <col min="14363" max="14364" width="4.59765625" style="107" customWidth="1"/>
    <col min="14365" max="14367" width="3.59765625" style="107" customWidth="1"/>
    <col min="14368" max="14368" width="5.09765625" style="107" customWidth="1"/>
    <col min="14369" max="14369" width="4" style="107" customWidth="1"/>
    <col min="14370" max="14370" width="4.69921875" style="107" customWidth="1"/>
    <col min="14371" max="14372" width="3.296875" style="107" customWidth="1"/>
    <col min="14373" max="14373" width="6.69921875" style="107"/>
    <col min="14374" max="14375" width="2.59765625" style="107" customWidth="1"/>
    <col min="14376" max="14592" width="6.69921875" style="107"/>
    <col min="14593" max="14593" width="3.59765625" style="107" customWidth="1"/>
    <col min="14594" max="14596" width="5.296875" style="107" customWidth="1"/>
    <col min="14597" max="14602" width="4.09765625" style="107" customWidth="1"/>
    <col min="14603" max="14605" width="3.09765625" style="107" bestFit="1" customWidth="1"/>
    <col min="14606" max="14606" width="3.09765625" style="107" customWidth="1"/>
    <col min="14607" max="14607" width="3.296875" style="107" bestFit="1" customWidth="1"/>
    <col min="14608" max="14608" width="5.296875" style="107" bestFit="1" customWidth="1"/>
    <col min="14609" max="14610" width="3.296875" style="107" customWidth="1"/>
    <col min="14611" max="14613" width="4.59765625" style="107" customWidth="1"/>
    <col min="14614" max="14615" width="3.796875" style="107" customWidth="1"/>
    <col min="14616" max="14616" width="4.296875" style="107" customWidth="1"/>
    <col min="14617" max="14618" width="3.796875" style="107" customWidth="1"/>
    <col min="14619" max="14620" width="4.59765625" style="107" customWidth="1"/>
    <col min="14621" max="14623" width="3.59765625" style="107" customWidth="1"/>
    <col min="14624" max="14624" width="5.09765625" style="107" customWidth="1"/>
    <col min="14625" max="14625" width="4" style="107" customWidth="1"/>
    <col min="14626" max="14626" width="4.69921875" style="107" customWidth="1"/>
    <col min="14627" max="14628" width="3.296875" style="107" customWidth="1"/>
    <col min="14629" max="14629" width="6.69921875" style="107"/>
    <col min="14630" max="14631" width="2.59765625" style="107" customWidth="1"/>
    <col min="14632" max="14848" width="6.69921875" style="107"/>
    <col min="14849" max="14849" width="3.59765625" style="107" customWidth="1"/>
    <col min="14850" max="14852" width="5.296875" style="107" customWidth="1"/>
    <col min="14853" max="14858" width="4.09765625" style="107" customWidth="1"/>
    <col min="14859" max="14861" width="3.09765625" style="107" bestFit="1" customWidth="1"/>
    <col min="14862" max="14862" width="3.09765625" style="107" customWidth="1"/>
    <col min="14863" max="14863" width="3.296875" style="107" bestFit="1" customWidth="1"/>
    <col min="14864" max="14864" width="5.296875" style="107" bestFit="1" customWidth="1"/>
    <col min="14865" max="14866" width="3.296875" style="107" customWidth="1"/>
    <col min="14867" max="14869" width="4.59765625" style="107" customWidth="1"/>
    <col min="14870" max="14871" width="3.796875" style="107" customWidth="1"/>
    <col min="14872" max="14872" width="4.296875" style="107" customWidth="1"/>
    <col min="14873" max="14874" width="3.796875" style="107" customWidth="1"/>
    <col min="14875" max="14876" width="4.59765625" style="107" customWidth="1"/>
    <col min="14877" max="14879" width="3.59765625" style="107" customWidth="1"/>
    <col min="14880" max="14880" width="5.09765625" style="107" customWidth="1"/>
    <col min="14881" max="14881" width="4" style="107" customWidth="1"/>
    <col min="14882" max="14882" width="4.69921875" style="107" customWidth="1"/>
    <col min="14883" max="14884" width="3.296875" style="107" customWidth="1"/>
    <col min="14885" max="14885" width="6.69921875" style="107"/>
    <col min="14886" max="14887" width="2.59765625" style="107" customWidth="1"/>
    <col min="14888" max="15104" width="6.69921875" style="107"/>
    <col min="15105" max="15105" width="3.59765625" style="107" customWidth="1"/>
    <col min="15106" max="15108" width="5.296875" style="107" customWidth="1"/>
    <col min="15109" max="15114" width="4.09765625" style="107" customWidth="1"/>
    <col min="15115" max="15117" width="3.09765625" style="107" bestFit="1" customWidth="1"/>
    <col min="15118" max="15118" width="3.09765625" style="107" customWidth="1"/>
    <col min="15119" max="15119" width="3.296875" style="107" bestFit="1" customWidth="1"/>
    <col min="15120" max="15120" width="5.296875" style="107" bestFit="1" customWidth="1"/>
    <col min="15121" max="15122" width="3.296875" style="107" customWidth="1"/>
    <col min="15123" max="15125" width="4.59765625" style="107" customWidth="1"/>
    <col min="15126" max="15127" width="3.796875" style="107" customWidth="1"/>
    <col min="15128" max="15128" width="4.296875" style="107" customWidth="1"/>
    <col min="15129" max="15130" width="3.796875" style="107" customWidth="1"/>
    <col min="15131" max="15132" width="4.59765625" style="107" customWidth="1"/>
    <col min="15133" max="15135" width="3.59765625" style="107" customWidth="1"/>
    <col min="15136" max="15136" width="5.09765625" style="107" customWidth="1"/>
    <col min="15137" max="15137" width="4" style="107" customWidth="1"/>
    <col min="15138" max="15138" width="4.69921875" style="107" customWidth="1"/>
    <col min="15139" max="15140" width="3.296875" style="107" customWidth="1"/>
    <col min="15141" max="15141" width="6.69921875" style="107"/>
    <col min="15142" max="15143" width="2.59765625" style="107" customWidth="1"/>
    <col min="15144" max="15360" width="6.69921875" style="107"/>
    <col min="15361" max="15361" width="3.59765625" style="107" customWidth="1"/>
    <col min="15362" max="15364" width="5.296875" style="107" customWidth="1"/>
    <col min="15365" max="15370" width="4.09765625" style="107" customWidth="1"/>
    <col min="15371" max="15373" width="3.09765625" style="107" bestFit="1" customWidth="1"/>
    <col min="15374" max="15374" width="3.09765625" style="107" customWidth="1"/>
    <col min="15375" max="15375" width="3.296875" style="107" bestFit="1" customWidth="1"/>
    <col min="15376" max="15376" width="5.296875" style="107" bestFit="1" customWidth="1"/>
    <col min="15377" max="15378" width="3.296875" style="107" customWidth="1"/>
    <col min="15379" max="15381" width="4.59765625" style="107" customWidth="1"/>
    <col min="15382" max="15383" width="3.796875" style="107" customWidth="1"/>
    <col min="15384" max="15384" width="4.296875" style="107" customWidth="1"/>
    <col min="15385" max="15386" width="3.796875" style="107" customWidth="1"/>
    <col min="15387" max="15388" width="4.59765625" style="107" customWidth="1"/>
    <col min="15389" max="15391" width="3.59765625" style="107" customWidth="1"/>
    <col min="15392" max="15392" width="5.09765625" style="107" customWidth="1"/>
    <col min="15393" max="15393" width="4" style="107" customWidth="1"/>
    <col min="15394" max="15394" width="4.69921875" style="107" customWidth="1"/>
    <col min="15395" max="15396" width="3.296875" style="107" customWidth="1"/>
    <col min="15397" max="15397" width="6.69921875" style="107"/>
    <col min="15398" max="15399" width="2.59765625" style="107" customWidth="1"/>
    <col min="15400" max="15616" width="6.69921875" style="107"/>
    <col min="15617" max="15617" width="3.59765625" style="107" customWidth="1"/>
    <col min="15618" max="15620" width="5.296875" style="107" customWidth="1"/>
    <col min="15621" max="15626" width="4.09765625" style="107" customWidth="1"/>
    <col min="15627" max="15629" width="3.09765625" style="107" bestFit="1" customWidth="1"/>
    <col min="15630" max="15630" width="3.09765625" style="107" customWidth="1"/>
    <col min="15631" max="15631" width="3.296875" style="107" bestFit="1" customWidth="1"/>
    <col min="15632" max="15632" width="5.296875" style="107" bestFit="1" customWidth="1"/>
    <col min="15633" max="15634" width="3.296875" style="107" customWidth="1"/>
    <col min="15635" max="15637" width="4.59765625" style="107" customWidth="1"/>
    <col min="15638" max="15639" width="3.796875" style="107" customWidth="1"/>
    <col min="15640" max="15640" width="4.296875" style="107" customWidth="1"/>
    <col min="15641" max="15642" width="3.796875" style="107" customWidth="1"/>
    <col min="15643" max="15644" width="4.59765625" style="107" customWidth="1"/>
    <col min="15645" max="15647" width="3.59765625" style="107" customWidth="1"/>
    <col min="15648" max="15648" width="5.09765625" style="107" customWidth="1"/>
    <col min="15649" max="15649" width="4" style="107" customWidth="1"/>
    <col min="15650" max="15650" width="4.69921875" style="107" customWidth="1"/>
    <col min="15651" max="15652" width="3.296875" style="107" customWidth="1"/>
    <col min="15653" max="15653" width="6.69921875" style="107"/>
    <col min="15654" max="15655" width="2.59765625" style="107" customWidth="1"/>
    <col min="15656" max="15872" width="6.69921875" style="107"/>
    <col min="15873" max="15873" width="3.59765625" style="107" customWidth="1"/>
    <col min="15874" max="15876" width="5.296875" style="107" customWidth="1"/>
    <col min="15877" max="15882" width="4.09765625" style="107" customWidth="1"/>
    <col min="15883" max="15885" width="3.09765625" style="107" bestFit="1" customWidth="1"/>
    <col min="15886" max="15886" width="3.09765625" style="107" customWidth="1"/>
    <col min="15887" max="15887" width="3.296875" style="107" bestFit="1" customWidth="1"/>
    <col min="15888" max="15888" width="5.296875" style="107" bestFit="1" customWidth="1"/>
    <col min="15889" max="15890" width="3.296875" style="107" customWidth="1"/>
    <col min="15891" max="15893" width="4.59765625" style="107" customWidth="1"/>
    <col min="15894" max="15895" width="3.796875" style="107" customWidth="1"/>
    <col min="15896" max="15896" width="4.296875" style="107" customWidth="1"/>
    <col min="15897" max="15898" width="3.796875" style="107" customWidth="1"/>
    <col min="15899" max="15900" width="4.59765625" style="107" customWidth="1"/>
    <col min="15901" max="15903" width="3.59765625" style="107" customWidth="1"/>
    <col min="15904" max="15904" width="5.09765625" style="107" customWidth="1"/>
    <col min="15905" max="15905" width="4" style="107" customWidth="1"/>
    <col min="15906" max="15906" width="4.69921875" style="107" customWidth="1"/>
    <col min="15907" max="15908" width="3.296875" style="107" customWidth="1"/>
    <col min="15909" max="15909" width="6.69921875" style="107"/>
    <col min="15910" max="15911" width="2.59765625" style="107" customWidth="1"/>
    <col min="15912" max="16128" width="6.69921875" style="107"/>
    <col min="16129" max="16129" width="3.59765625" style="107" customWidth="1"/>
    <col min="16130" max="16132" width="5.296875" style="107" customWidth="1"/>
    <col min="16133" max="16138" width="4.09765625" style="107" customWidth="1"/>
    <col min="16139" max="16141" width="3.09765625" style="107" bestFit="1" customWidth="1"/>
    <col min="16142" max="16142" width="3.09765625" style="107" customWidth="1"/>
    <col min="16143" max="16143" width="3.296875" style="107" bestFit="1" customWidth="1"/>
    <col min="16144" max="16144" width="5.296875" style="107" bestFit="1" customWidth="1"/>
    <col min="16145" max="16146" width="3.296875" style="107" customWidth="1"/>
    <col min="16147" max="16149" width="4.59765625" style="107" customWidth="1"/>
    <col min="16150" max="16151" width="3.796875" style="107" customWidth="1"/>
    <col min="16152" max="16152" width="4.296875" style="107" customWidth="1"/>
    <col min="16153" max="16154" width="3.796875" style="107" customWidth="1"/>
    <col min="16155" max="16156" width="4.59765625" style="107" customWidth="1"/>
    <col min="16157" max="16159" width="3.59765625" style="107" customWidth="1"/>
    <col min="16160" max="16160" width="5.09765625" style="107" customWidth="1"/>
    <col min="16161" max="16161" width="4" style="107" customWidth="1"/>
    <col min="16162" max="16162" width="4.69921875" style="107" customWidth="1"/>
    <col min="16163" max="16164" width="3.296875" style="107" customWidth="1"/>
    <col min="16165" max="16165" width="6.69921875" style="107"/>
    <col min="16166" max="16167" width="2.59765625" style="107" customWidth="1"/>
    <col min="16168" max="16384" width="6.69921875" style="107"/>
  </cols>
  <sheetData>
    <row r="1" spans="1:39" s="45" customFormat="1" ht="15" customHeight="1" x14ac:dyDescent="0.25">
      <c r="A1" s="43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39" s="45" customFormat="1" ht="15" customHeight="1" x14ac:dyDescent="0.25">
      <c r="A2" s="46" t="s">
        <v>95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1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9" s="47" customFormat="1" ht="8.4" customHeight="1" x14ac:dyDescent="0.25">
      <c r="A3" s="165" t="s">
        <v>0</v>
      </c>
      <c r="B3" s="167" t="s">
        <v>1</v>
      </c>
      <c r="C3" s="170" t="s">
        <v>2</v>
      </c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2"/>
      <c r="S3" s="170" t="s">
        <v>3</v>
      </c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2"/>
    </row>
    <row r="4" spans="1:39" s="47" customFormat="1" ht="8.4" customHeight="1" x14ac:dyDescent="0.25">
      <c r="A4" s="152"/>
      <c r="B4" s="168"/>
      <c r="C4" s="173" t="s">
        <v>4</v>
      </c>
      <c r="D4" s="156"/>
      <c r="E4" s="162" t="s">
        <v>5</v>
      </c>
      <c r="F4" s="163"/>
      <c r="G4" s="164"/>
      <c r="H4" s="174" t="s">
        <v>6</v>
      </c>
      <c r="I4" s="164"/>
      <c r="J4" s="156" t="s">
        <v>7</v>
      </c>
      <c r="K4" s="153" t="s">
        <v>8</v>
      </c>
      <c r="L4" s="153" t="s">
        <v>9</v>
      </c>
      <c r="M4" s="153" t="s">
        <v>10</v>
      </c>
      <c r="N4" s="155" t="s">
        <v>11</v>
      </c>
      <c r="O4" s="153" t="s">
        <v>12</v>
      </c>
      <c r="P4" s="156" t="s">
        <v>13</v>
      </c>
      <c r="Q4" s="158" t="s">
        <v>14</v>
      </c>
      <c r="R4" s="160" t="s">
        <v>15</v>
      </c>
      <c r="S4" s="152" t="s">
        <v>4</v>
      </c>
      <c r="T4" s="156"/>
      <c r="U4" s="156"/>
      <c r="V4" s="162" t="s">
        <v>5</v>
      </c>
      <c r="W4" s="163"/>
      <c r="X4" s="164"/>
      <c r="Y4" s="162" t="s">
        <v>6</v>
      </c>
      <c r="Z4" s="163"/>
      <c r="AA4" s="164"/>
      <c r="AB4" s="156" t="s">
        <v>7</v>
      </c>
      <c r="AC4" s="153" t="s">
        <v>8</v>
      </c>
      <c r="AD4" s="153" t="s">
        <v>9</v>
      </c>
      <c r="AE4" s="153" t="s">
        <v>10</v>
      </c>
      <c r="AF4" s="155" t="s">
        <v>11</v>
      </c>
      <c r="AG4" s="153" t="s">
        <v>12</v>
      </c>
      <c r="AH4" s="156" t="s">
        <v>13</v>
      </c>
      <c r="AI4" s="158" t="s">
        <v>14</v>
      </c>
      <c r="AJ4" s="160" t="s">
        <v>15</v>
      </c>
    </row>
    <row r="5" spans="1:39" s="47" customFormat="1" ht="8.4" customHeight="1" x14ac:dyDescent="0.25">
      <c r="A5" s="166"/>
      <c r="B5" s="169"/>
      <c r="C5" s="48"/>
      <c r="D5" s="49" t="s">
        <v>16</v>
      </c>
      <c r="E5" s="50" t="s">
        <v>17</v>
      </c>
      <c r="F5" s="50" t="s">
        <v>18</v>
      </c>
      <c r="G5" s="51" t="s">
        <v>19</v>
      </c>
      <c r="H5" s="52"/>
      <c r="I5" s="53" t="s">
        <v>20</v>
      </c>
      <c r="J5" s="157"/>
      <c r="K5" s="154"/>
      <c r="L5" s="154"/>
      <c r="M5" s="154"/>
      <c r="N5" s="154"/>
      <c r="O5" s="154"/>
      <c r="P5" s="157"/>
      <c r="Q5" s="159"/>
      <c r="R5" s="161"/>
      <c r="S5" s="54" t="s">
        <v>21</v>
      </c>
      <c r="T5" s="51" t="s">
        <v>22</v>
      </c>
      <c r="U5" s="51" t="s">
        <v>19</v>
      </c>
      <c r="V5" s="50" t="s">
        <v>17</v>
      </c>
      <c r="W5" s="50" t="s">
        <v>18</v>
      </c>
      <c r="X5" s="51" t="s">
        <v>19</v>
      </c>
      <c r="Y5" s="51" t="s">
        <v>22</v>
      </c>
      <c r="Z5" s="51" t="s">
        <v>23</v>
      </c>
      <c r="AA5" s="51" t="s">
        <v>19</v>
      </c>
      <c r="AB5" s="157"/>
      <c r="AC5" s="154"/>
      <c r="AD5" s="154"/>
      <c r="AE5" s="154"/>
      <c r="AF5" s="154"/>
      <c r="AG5" s="154"/>
      <c r="AH5" s="157"/>
      <c r="AI5" s="159"/>
      <c r="AJ5" s="161"/>
    </row>
    <row r="6" spans="1:39" s="61" customFormat="1" ht="8.25" customHeight="1" x14ac:dyDescent="0.25">
      <c r="A6" s="151" t="s">
        <v>24</v>
      </c>
      <c r="B6" s="55" t="s">
        <v>25</v>
      </c>
      <c r="C6" s="2">
        <v>773234</v>
      </c>
      <c r="D6" s="3">
        <v>526892</v>
      </c>
      <c r="E6" s="3">
        <v>31212</v>
      </c>
      <c r="F6" s="3">
        <v>126</v>
      </c>
      <c r="G6" s="3">
        <v>31338</v>
      </c>
      <c r="H6" s="3">
        <v>15922</v>
      </c>
      <c r="I6" s="3">
        <v>1836</v>
      </c>
      <c r="J6" s="3">
        <v>16</v>
      </c>
      <c r="K6" s="3">
        <v>20</v>
      </c>
      <c r="L6" s="3" t="s">
        <v>26</v>
      </c>
      <c r="M6" s="3">
        <v>14</v>
      </c>
      <c r="N6" s="3">
        <v>5</v>
      </c>
      <c r="O6" s="3">
        <v>217</v>
      </c>
      <c r="P6" s="3">
        <v>820766</v>
      </c>
      <c r="Q6" s="4">
        <v>1.1781180928712576</v>
      </c>
      <c r="R6" s="5">
        <v>3.8820322239995111</v>
      </c>
      <c r="S6" s="56">
        <v>2759272</v>
      </c>
      <c r="T6" s="57">
        <v>12008205</v>
      </c>
      <c r="U6" s="58">
        <v>14767477</v>
      </c>
      <c r="V6" s="58">
        <v>6808271</v>
      </c>
      <c r="W6" s="58">
        <v>521161</v>
      </c>
      <c r="X6" s="58">
        <v>7329432</v>
      </c>
      <c r="Y6" s="58">
        <v>1822241</v>
      </c>
      <c r="Z6" s="58">
        <v>3309646</v>
      </c>
      <c r="AA6" s="58">
        <v>5131887</v>
      </c>
      <c r="AB6" s="58">
        <v>16327</v>
      </c>
      <c r="AC6" s="58">
        <v>993504</v>
      </c>
      <c r="AD6" s="58" t="s">
        <v>26</v>
      </c>
      <c r="AE6" s="58">
        <v>1642505</v>
      </c>
      <c r="AF6" s="58">
        <v>1777589</v>
      </c>
      <c r="AG6" s="58">
        <v>3093134</v>
      </c>
      <c r="AH6" s="58">
        <v>34751855</v>
      </c>
      <c r="AI6" s="59">
        <v>-5.4020226467283257</v>
      </c>
      <c r="AJ6" s="60">
        <v>3.4368430967617041</v>
      </c>
      <c r="AL6" s="113"/>
      <c r="AM6" s="113"/>
    </row>
    <row r="7" spans="1:39" s="61" customFormat="1" ht="8.25" customHeight="1" x14ac:dyDescent="0.25">
      <c r="A7" s="152"/>
      <c r="B7" s="55" t="s">
        <v>27</v>
      </c>
      <c r="C7" s="2">
        <v>995276</v>
      </c>
      <c r="D7" s="3">
        <v>937452</v>
      </c>
      <c r="E7" s="3">
        <v>49667</v>
      </c>
      <c r="F7" s="3">
        <v>205</v>
      </c>
      <c r="G7" s="3">
        <v>49872</v>
      </c>
      <c r="H7" s="3">
        <v>11433</v>
      </c>
      <c r="I7" s="3">
        <v>1652</v>
      </c>
      <c r="J7" s="3">
        <v>2177</v>
      </c>
      <c r="K7" s="3">
        <v>18</v>
      </c>
      <c r="L7" s="3" t="s">
        <v>26</v>
      </c>
      <c r="M7" s="3">
        <v>9</v>
      </c>
      <c r="N7" s="3">
        <v>5</v>
      </c>
      <c r="O7" s="3">
        <v>162</v>
      </c>
      <c r="P7" s="3">
        <v>1058952</v>
      </c>
      <c r="Q7" s="4">
        <v>1.1630939541086591</v>
      </c>
      <c r="R7" s="5">
        <v>5.0085965886363839</v>
      </c>
      <c r="S7" s="62">
        <v>4210800.7436149996</v>
      </c>
      <c r="T7" s="58">
        <v>21831490.973915</v>
      </c>
      <c r="U7" s="58">
        <v>26042291.717529997</v>
      </c>
      <c r="V7" s="58">
        <v>7412769.3390030004</v>
      </c>
      <c r="W7" s="58">
        <v>503102.19871000003</v>
      </c>
      <c r="X7" s="58">
        <v>7915871.5377130006</v>
      </c>
      <c r="Y7" s="58">
        <v>1711253.6896510001</v>
      </c>
      <c r="Z7" s="58">
        <v>3479662.3839000007</v>
      </c>
      <c r="AA7" s="58">
        <v>5190916.073551001</v>
      </c>
      <c r="AB7" s="58">
        <v>323588.91545900004</v>
      </c>
      <c r="AC7" s="58">
        <v>146411.83777100002</v>
      </c>
      <c r="AD7" s="58" t="s">
        <v>26</v>
      </c>
      <c r="AE7" s="58">
        <v>24726.274626000002</v>
      </c>
      <c r="AF7" s="58">
        <v>1183268.8266650001</v>
      </c>
      <c r="AG7" s="58">
        <v>1641.5326279999999</v>
      </c>
      <c r="AH7" s="58">
        <v>40828716.715942994</v>
      </c>
      <c r="AI7" s="59">
        <v>-7.1788798330044994</v>
      </c>
      <c r="AJ7" s="60">
        <v>4.0378245476343029</v>
      </c>
      <c r="AL7" s="113"/>
      <c r="AM7" s="113"/>
    </row>
    <row r="8" spans="1:39" s="61" customFormat="1" ht="8.25" customHeight="1" x14ac:dyDescent="0.25">
      <c r="A8" s="152"/>
      <c r="B8" s="55" t="s">
        <v>28</v>
      </c>
      <c r="C8" s="2">
        <v>1723762</v>
      </c>
      <c r="D8" s="3">
        <v>1485477</v>
      </c>
      <c r="E8" s="3">
        <v>78999</v>
      </c>
      <c r="F8" s="3">
        <v>333</v>
      </c>
      <c r="G8" s="3">
        <v>79332</v>
      </c>
      <c r="H8" s="3">
        <v>41900</v>
      </c>
      <c r="I8" s="3">
        <v>2019</v>
      </c>
      <c r="J8" s="3">
        <v>63</v>
      </c>
      <c r="K8" s="3">
        <v>27</v>
      </c>
      <c r="L8" s="3" t="s">
        <v>26</v>
      </c>
      <c r="M8" s="3">
        <v>6</v>
      </c>
      <c r="N8" s="3">
        <v>9</v>
      </c>
      <c r="O8" s="3">
        <v>270</v>
      </c>
      <c r="P8" s="3">
        <v>1845369</v>
      </c>
      <c r="Q8" s="4">
        <v>0.85151941099187445</v>
      </c>
      <c r="R8" s="5">
        <v>8.728166034131231</v>
      </c>
      <c r="S8" s="62">
        <v>5083125</v>
      </c>
      <c r="T8" s="58">
        <v>33501192</v>
      </c>
      <c r="U8" s="58">
        <v>38584317</v>
      </c>
      <c r="V8" s="58">
        <v>8075710</v>
      </c>
      <c r="W8" s="58">
        <v>660799</v>
      </c>
      <c r="X8" s="58">
        <v>8736509</v>
      </c>
      <c r="Y8" s="58">
        <v>2073914</v>
      </c>
      <c r="Z8" s="58">
        <v>3359315</v>
      </c>
      <c r="AA8" s="58">
        <v>5433229</v>
      </c>
      <c r="AB8" s="58">
        <v>194248.29339440001</v>
      </c>
      <c r="AC8" s="58">
        <v>111860.87493499999</v>
      </c>
      <c r="AD8" s="58">
        <v>1599969</v>
      </c>
      <c r="AE8" s="58">
        <v>1635477</v>
      </c>
      <c r="AF8" s="58">
        <v>2621991</v>
      </c>
      <c r="AG8" s="58">
        <v>458270.12506500003</v>
      </c>
      <c r="AH8" s="58">
        <v>59375871.293394402</v>
      </c>
      <c r="AI8" s="59">
        <v>-10.034672184334584</v>
      </c>
      <c r="AJ8" s="60">
        <v>5.8720765659535008</v>
      </c>
      <c r="AL8" s="113"/>
      <c r="AM8" s="113"/>
    </row>
    <row r="9" spans="1:39" s="61" customFormat="1" ht="8.25" customHeight="1" x14ac:dyDescent="0.25">
      <c r="A9" s="152"/>
      <c r="B9" s="55" t="s">
        <v>29</v>
      </c>
      <c r="C9" s="2">
        <v>398269</v>
      </c>
      <c r="D9" s="3">
        <v>368502</v>
      </c>
      <c r="E9" s="3">
        <v>11278</v>
      </c>
      <c r="F9" s="3">
        <v>43</v>
      </c>
      <c r="G9" s="3">
        <v>11321</v>
      </c>
      <c r="H9" s="3">
        <v>5431</v>
      </c>
      <c r="I9" s="3">
        <v>364</v>
      </c>
      <c r="J9" s="3">
        <v>65</v>
      </c>
      <c r="K9" s="3">
        <v>5</v>
      </c>
      <c r="L9" s="3" t="s">
        <v>26</v>
      </c>
      <c r="M9" s="3">
        <v>5</v>
      </c>
      <c r="N9" s="3">
        <v>4</v>
      </c>
      <c r="O9" s="3">
        <v>20</v>
      </c>
      <c r="P9" s="3">
        <v>415120</v>
      </c>
      <c r="Q9" s="4">
        <v>0.97467119745666031</v>
      </c>
      <c r="R9" s="5">
        <v>1.9634210199090569</v>
      </c>
      <c r="S9" s="62">
        <v>1657100</v>
      </c>
      <c r="T9" s="58">
        <v>7717735</v>
      </c>
      <c r="U9" s="58">
        <v>9374835</v>
      </c>
      <c r="V9" s="58">
        <v>1328695</v>
      </c>
      <c r="W9" s="58">
        <v>63116</v>
      </c>
      <c r="X9" s="58">
        <v>1391811</v>
      </c>
      <c r="Y9" s="58">
        <v>622313</v>
      </c>
      <c r="Z9" s="58">
        <v>441770</v>
      </c>
      <c r="AA9" s="58">
        <v>1064083</v>
      </c>
      <c r="AB9" s="58">
        <v>81598.10500000001</v>
      </c>
      <c r="AC9" s="58">
        <v>43820</v>
      </c>
      <c r="AD9" s="58" t="s">
        <v>26</v>
      </c>
      <c r="AE9" s="58">
        <v>103534</v>
      </c>
      <c r="AF9" s="58">
        <v>1162370</v>
      </c>
      <c r="AG9" s="58">
        <v>19770</v>
      </c>
      <c r="AH9" s="58">
        <v>13241821.105</v>
      </c>
      <c r="AI9" s="59">
        <v>-9.6850774483799587</v>
      </c>
      <c r="AJ9" s="60">
        <v>1.3095721495520942</v>
      </c>
      <c r="AL9" s="113"/>
      <c r="AM9" s="113"/>
    </row>
    <row r="10" spans="1:39" s="61" customFormat="1" ht="8.25" customHeight="1" x14ac:dyDescent="0.25">
      <c r="A10" s="152"/>
      <c r="B10" s="55" t="s">
        <v>30</v>
      </c>
      <c r="C10" s="2">
        <v>553506</v>
      </c>
      <c r="D10" s="3">
        <v>446395</v>
      </c>
      <c r="E10" s="3">
        <v>14839</v>
      </c>
      <c r="F10" s="3">
        <v>94</v>
      </c>
      <c r="G10" s="3">
        <v>14933</v>
      </c>
      <c r="H10" s="3">
        <v>2988</v>
      </c>
      <c r="I10" s="3">
        <v>492</v>
      </c>
      <c r="J10" s="3">
        <v>85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571555</v>
      </c>
      <c r="Q10" s="4">
        <v>-1.4590926488488289</v>
      </c>
      <c r="R10" s="5">
        <v>2.7033221743932385</v>
      </c>
      <c r="S10" s="62">
        <v>2688394.36993</v>
      </c>
      <c r="T10" s="58">
        <v>10326666.937059999</v>
      </c>
      <c r="U10" s="58">
        <v>13015061.306989998</v>
      </c>
      <c r="V10" s="58">
        <v>1905348.0891500001</v>
      </c>
      <c r="W10" s="58">
        <v>175600.07002000001</v>
      </c>
      <c r="X10" s="58">
        <v>2080948.1591700001</v>
      </c>
      <c r="Y10" s="58">
        <v>486132.97810000001</v>
      </c>
      <c r="Z10" s="58">
        <v>536461.86083999998</v>
      </c>
      <c r="AA10" s="58">
        <v>1022594.8389399999</v>
      </c>
      <c r="AB10" s="58">
        <v>43234.984021119992</v>
      </c>
      <c r="AC10" s="58">
        <v>25520.246430000003</v>
      </c>
      <c r="AD10" s="58">
        <v>1312525.3919600002</v>
      </c>
      <c r="AE10" s="58">
        <v>1305944.6681100002</v>
      </c>
      <c r="AF10" s="58">
        <v>2182525.29342</v>
      </c>
      <c r="AG10" s="58">
        <v>245.07876000000002</v>
      </c>
      <c r="AH10" s="58">
        <v>20988599.96780112</v>
      </c>
      <c r="AI10" s="59">
        <v>-11.231208229860746</v>
      </c>
      <c r="AJ10" s="60">
        <v>2.0757028627689142</v>
      </c>
      <c r="AL10" s="113"/>
      <c r="AM10" s="113"/>
    </row>
    <row r="11" spans="1:39" s="61" customFormat="1" ht="8.25" customHeight="1" x14ac:dyDescent="0.25">
      <c r="A11" s="152"/>
      <c r="B11" s="63" t="s">
        <v>31</v>
      </c>
      <c r="C11" s="6">
        <v>4444047</v>
      </c>
      <c r="D11" s="7">
        <v>3764718</v>
      </c>
      <c r="E11" s="7">
        <v>185995</v>
      </c>
      <c r="F11" s="7">
        <v>801</v>
      </c>
      <c r="G11" s="7">
        <v>186796</v>
      </c>
      <c r="H11" s="7">
        <v>77674</v>
      </c>
      <c r="I11" s="7">
        <v>6363</v>
      </c>
      <c r="J11" s="7">
        <v>2406</v>
      </c>
      <c r="K11" s="7">
        <v>75</v>
      </c>
      <c r="L11" s="7">
        <v>1</v>
      </c>
      <c r="M11" s="7">
        <v>40</v>
      </c>
      <c r="N11" s="7">
        <v>31</v>
      </c>
      <c r="O11" s="7">
        <v>692</v>
      </c>
      <c r="P11" s="7">
        <v>4711762</v>
      </c>
      <c r="Q11" s="8">
        <v>0.70223695501404715</v>
      </c>
      <c r="R11" s="9">
        <v>22.285538041069422</v>
      </c>
      <c r="S11" s="64">
        <v>16398692.113545001</v>
      </c>
      <c r="T11" s="65">
        <v>85385289.910974994</v>
      </c>
      <c r="U11" s="65">
        <v>101783982.02451999</v>
      </c>
      <c r="V11" s="65">
        <v>25530793.428153001</v>
      </c>
      <c r="W11" s="65">
        <v>1923778.2687300001</v>
      </c>
      <c r="X11" s="65">
        <v>27454571.696883</v>
      </c>
      <c r="Y11" s="65">
        <v>6715854.6677510003</v>
      </c>
      <c r="Z11" s="65">
        <v>11126855.244740002</v>
      </c>
      <c r="AA11" s="65">
        <v>17842709.912490997</v>
      </c>
      <c r="AB11" s="65">
        <v>658997.29787452007</v>
      </c>
      <c r="AC11" s="65">
        <v>1321116.9591360001</v>
      </c>
      <c r="AD11" s="65">
        <v>2912494.3919600002</v>
      </c>
      <c r="AE11" s="65">
        <v>4712186.9427359998</v>
      </c>
      <c r="AF11" s="65">
        <v>8927744.120085001</v>
      </c>
      <c r="AG11" s="65">
        <v>3573060.7364529995</v>
      </c>
      <c r="AH11" s="65">
        <v>169186864.08213851</v>
      </c>
      <c r="AI11" s="66">
        <v>-8.5505385797608184</v>
      </c>
      <c r="AJ11" s="67">
        <v>16.732019222670516</v>
      </c>
      <c r="AL11" s="113"/>
      <c r="AM11" s="113"/>
    </row>
    <row r="12" spans="1:39" s="61" customFormat="1" ht="8.25" customHeight="1" x14ac:dyDescent="0.25">
      <c r="A12" s="152" t="s">
        <v>32</v>
      </c>
      <c r="B12" s="68" t="s">
        <v>33</v>
      </c>
      <c r="C12" s="10">
        <v>423544</v>
      </c>
      <c r="D12" s="11">
        <v>325622</v>
      </c>
      <c r="E12" s="11">
        <v>12186</v>
      </c>
      <c r="F12" s="11">
        <v>174</v>
      </c>
      <c r="G12" s="11">
        <v>12360</v>
      </c>
      <c r="H12" s="11">
        <v>3174</v>
      </c>
      <c r="I12" s="11">
        <v>391</v>
      </c>
      <c r="J12" s="11">
        <v>492</v>
      </c>
      <c r="K12" s="11">
        <v>9</v>
      </c>
      <c r="L12" s="11">
        <v>1</v>
      </c>
      <c r="M12" s="11">
        <v>9</v>
      </c>
      <c r="N12" s="11">
        <v>3</v>
      </c>
      <c r="O12" s="11">
        <v>92</v>
      </c>
      <c r="P12" s="3">
        <v>439684</v>
      </c>
      <c r="Q12" s="12">
        <v>1.0052652374870206</v>
      </c>
      <c r="R12" s="13">
        <v>2.0796030249510835</v>
      </c>
      <c r="S12" s="69">
        <v>1594444.5089600002</v>
      </c>
      <c r="T12" s="70">
        <v>7233070.8418169999</v>
      </c>
      <c r="U12" s="70">
        <v>8827515.3507770002</v>
      </c>
      <c r="V12" s="70">
        <v>1868025.72805</v>
      </c>
      <c r="W12" s="70">
        <v>275296.50090300001</v>
      </c>
      <c r="X12" s="70">
        <v>2143322.2289530002</v>
      </c>
      <c r="Y12" s="70">
        <v>488834.16868200002</v>
      </c>
      <c r="Z12" s="70">
        <v>540729.31498200004</v>
      </c>
      <c r="AA12" s="70">
        <v>1029563.4836640001</v>
      </c>
      <c r="AB12" s="70">
        <v>13289171.373741399</v>
      </c>
      <c r="AC12" s="70">
        <v>38551.771280000001</v>
      </c>
      <c r="AD12" s="70">
        <v>370068.14469600003</v>
      </c>
      <c r="AE12" s="70">
        <v>210106.99215100001</v>
      </c>
      <c r="AF12" s="70">
        <v>1230579.8398860001</v>
      </c>
      <c r="AG12" s="70">
        <v>3261360.4746619998</v>
      </c>
      <c r="AH12" s="58">
        <v>30400239.659810398</v>
      </c>
      <c r="AI12" s="71">
        <v>-3.0027760546546358</v>
      </c>
      <c r="AJ12" s="72">
        <v>3.0064827852993963</v>
      </c>
      <c r="AL12" s="113"/>
      <c r="AM12" s="113"/>
    </row>
    <row r="13" spans="1:39" s="61" customFormat="1" ht="8.25" customHeight="1" x14ac:dyDescent="0.25">
      <c r="A13" s="152"/>
      <c r="B13" s="55" t="s">
        <v>34</v>
      </c>
      <c r="C13" s="2">
        <v>784072</v>
      </c>
      <c r="D13" s="3">
        <v>631624</v>
      </c>
      <c r="E13" s="3">
        <v>21262</v>
      </c>
      <c r="F13" s="3">
        <v>364</v>
      </c>
      <c r="G13" s="3">
        <v>21626</v>
      </c>
      <c r="H13" s="3">
        <v>9385</v>
      </c>
      <c r="I13" s="3">
        <v>658</v>
      </c>
      <c r="J13" s="3">
        <v>372</v>
      </c>
      <c r="K13" s="3">
        <v>1</v>
      </c>
      <c r="L13" s="3" t="s">
        <v>26</v>
      </c>
      <c r="M13" s="3" t="s">
        <v>26</v>
      </c>
      <c r="N13" s="3">
        <v>10</v>
      </c>
      <c r="O13" s="3">
        <v>26</v>
      </c>
      <c r="P13" s="3">
        <v>815492</v>
      </c>
      <c r="Q13" s="4">
        <v>2.5741264133167805</v>
      </c>
      <c r="R13" s="5">
        <v>3.8570874310263936</v>
      </c>
      <c r="S13" s="62">
        <v>3582727</v>
      </c>
      <c r="T13" s="58">
        <v>13944113</v>
      </c>
      <c r="U13" s="58">
        <v>17526840</v>
      </c>
      <c r="V13" s="58">
        <v>3013056</v>
      </c>
      <c r="W13" s="58">
        <v>606257</v>
      </c>
      <c r="X13" s="58">
        <v>3619313</v>
      </c>
      <c r="Y13" s="58">
        <v>737183</v>
      </c>
      <c r="Z13" s="58">
        <v>910389</v>
      </c>
      <c r="AA13" s="58">
        <v>1647572</v>
      </c>
      <c r="AB13" s="58">
        <v>6678116.7918574996</v>
      </c>
      <c r="AC13" s="58">
        <v>28790</v>
      </c>
      <c r="AD13" s="58" t="s">
        <v>26</v>
      </c>
      <c r="AE13" s="58" t="s">
        <v>26</v>
      </c>
      <c r="AF13" s="58">
        <v>1991852</v>
      </c>
      <c r="AG13" s="58">
        <v>5873702</v>
      </c>
      <c r="AH13" s="58">
        <v>37366185.791857496</v>
      </c>
      <c r="AI13" s="4">
        <v>6.8125148238405462</v>
      </c>
      <c r="AJ13" s="60">
        <v>3.6953917335077713</v>
      </c>
      <c r="AL13" s="113"/>
      <c r="AM13" s="113"/>
    </row>
    <row r="14" spans="1:39" s="61" customFormat="1" ht="8.25" customHeight="1" x14ac:dyDescent="0.25">
      <c r="A14" s="152"/>
      <c r="B14" s="63" t="s">
        <v>31</v>
      </c>
      <c r="C14" s="6">
        <v>1207616</v>
      </c>
      <c r="D14" s="7">
        <v>957246</v>
      </c>
      <c r="E14" s="7">
        <v>33448</v>
      </c>
      <c r="F14" s="7">
        <v>538</v>
      </c>
      <c r="G14" s="7">
        <v>33986</v>
      </c>
      <c r="H14" s="7">
        <v>12559</v>
      </c>
      <c r="I14" s="7">
        <v>1049</v>
      </c>
      <c r="J14" s="7">
        <v>864</v>
      </c>
      <c r="K14" s="7">
        <v>10</v>
      </c>
      <c r="L14" s="7">
        <v>1</v>
      </c>
      <c r="M14" s="7">
        <v>9</v>
      </c>
      <c r="N14" s="7">
        <v>13</v>
      </c>
      <c r="O14" s="7">
        <v>118</v>
      </c>
      <c r="P14" s="7">
        <v>1255176</v>
      </c>
      <c r="Q14" s="8">
        <v>2.0190435938179441</v>
      </c>
      <c r="R14" s="9">
        <v>5.9366904559774776</v>
      </c>
      <c r="S14" s="64">
        <v>5177171.5089600002</v>
      </c>
      <c r="T14" s="65">
        <v>21177183.841816999</v>
      </c>
      <c r="U14" s="65">
        <v>26354355.350777</v>
      </c>
      <c r="V14" s="65">
        <v>4881081.72805</v>
      </c>
      <c r="W14" s="65">
        <v>881553.50090300001</v>
      </c>
      <c r="X14" s="65">
        <v>5762635.2289530002</v>
      </c>
      <c r="Y14" s="65">
        <v>1226017.1686820001</v>
      </c>
      <c r="Z14" s="65">
        <v>1451118.314982</v>
      </c>
      <c r="AA14" s="65">
        <v>2677135.4836639999</v>
      </c>
      <c r="AB14" s="65">
        <v>19967288.165598899</v>
      </c>
      <c r="AC14" s="65">
        <v>67341.771280000001</v>
      </c>
      <c r="AD14" s="65">
        <v>370068.14469600003</v>
      </c>
      <c r="AE14" s="65">
        <v>210106.99215100001</v>
      </c>
      <c r="AF14" s="65">
        <v>3222431.8398860004</v>
      </c>
      <c r="AG14" s="65">
        <v>9135062.4746620003</v>
      </c>
      <c r="AH14" s="65">
        <v>67766425.45166789</v>
      </c>
      <c r="AI14" s="4">
        <v>2.1710788564230894</v>
      </c>
      <c r="AJ14" s="67">
        <v>6.7018745188071671</v>
      </c>
      <c r="AL14" s="113"/>
      <c r="AM14" s="113"/>
    </row>
    <row r="15" spans="1:39" s="61" customFormat="1" ht="8.25" customHeight="1" x14ac:dyDescent="0.25">
      <c r="A15" s="150" t="s">
        <v>35</v>
      </c>
      <c r="B15" s="68" t="s">
        <v>25</v>
      </c>
      <c r="C15" s="10">
        <v>739982</v>
      </c>
      <c r="D15" s="11">
        <v>518453</v>
      </c>
      <c r="E15" s="11">
        <v>23637</v>
      </c>
      <c r="F15" s="11">
        <v>251</v>
      </c>
      <c r="G15" s="11">
        <v>23888</v>
      </c>
      <c r="H15" s="11">
        <v>6386</v>
      </c>
      <c r="I15" s="11">
        <v>698</v>
      </c>
      <c r="J15" s="11">
        <v>442</v>
      </c>
      <c r="K15" s="11">
        <v>3</v>
      </c>
      <c r="L15" s="11" t="s">
        <v>26</v>
      </c>
      <c r="M15" s="11">
        <v>3</v>
      </c>
      <c r="N15" s="11">
        <v>9</v>
      </c>
      <c r="O15" s="11">
        <v>170</v>
      </c>
      <c r="P15" s="3">
        <v>770883</v>
      </c>
      <c r="Q15" s="12">
        <v>1.20452981982597</v>
      </c>
      <c r="R15" s="13">
        <v>3.646097239570615</v>
      </c>
      <c r="S15" s="69">
        <v>2955059</v>
      </c>
      <c r="T15" s="70">
        <v>12823476</v>
      </c>
      <c r="U15" s="70">
        <v>15778535</v>
      </c>
      <c r="V15" s="70">
        <v>3681185</v>
      </c>
      <c r="W15" s="70">
        <v>611576</v>
      </c>
      <c r="X15" s="70">
        <v>4292761</v>
      </c>
      <c r="Y15" s="70">
        <v>729769</v>
      </c>
      <c r="Z15" s="70">
        <v>793329</v>
      </c>
      <c r="AA15" s="70">
        <v>1523098</v>
      </c>
      <c r="AB15" s="70">
        <v>7768174</v>
      </c>
      <c r="AC15" s="70">
        <v>112558</v>
      </c>
      <c r="AD15" s="70" t="s">
        <v>26</v>
      </c>
      <c r="AE15" s="70">
        <v>69594</v>
      </c>
      <c r="AF15" s="70">
        <v>2240746</v>
      </c>
      <c r="AG15" s="70">
        <v>1103392</v>
      </c>
      <c r="AH15" s="58">
        <v>32888858</v>
      </c>
      <c r="AI15" s="71">
        <v>-4.8930446554799003</v>
      </c>
      <c r="AJ15" s="72">
        <v>3.252598877892301</v>
      </c>
      <c r="AL15" s="113"/>
      <c r="AM15" s="113"/>
    </row>
    <row r="16" spans="1:39" s="61" customFormat="1" ht="8.25" customHeight="1" x14ac:dyDescent="0.25">
      <c r="A16" s="142"/>
      <c r="B16" s="55" t="s">
        <v>27</v>
      </c>
      <c r="C16" s="2">
        <v>377502</v>
      </c>
      <c r="D16" s="3">
        <v>276209</v>
      </c>
      <c r="E16" s="3">
        <v>12221</v>
      </c>
      <c r="F16" s="3">
        <v>88</v>
      </c>
      <c r="G16" s="3">
        <v>12309</v>
      </c>
      <c r="H16" s="3">
        <v>1865</v>
      </c>
      <c r="I16" s="3">
        <v>239</v>
      </c>
      <c r="J16" s="3">
        <v>1366</v>
      </c>
      <c r="K16" s="3">
        <v>1</v>
      </c>
      <c r="L16" s="3" t="s">
        <v>26</v>
      </c>
      <c r="M16" s="3">
        <v>1</v>
      </c>
      <c r="N16" s="3">
        <v>5</v>
      </c>
      <c r="O16" s="3">
        <v>9</v>
      </c>
      <c r="P16" s="3">
        <v>393058</v>
      </c>
      <c r="Q16" s="4">
        <v>1.8614836410754776</v>
      </c>
      <c r="R16" s="5">
        <v>1.8590728927621269</v>
      </c>
      <c r="S16" s="62">
        <v>1746497.3529419999</v>
      </c>
      <c r="T16" s="58">
        <v>8791775.053179998</v>
      </c>
      <c r="U16" s="58">
        <v>10538272.406121997</v>
      </c>
      <c r="V16" s="58">
        <v>1465414.058888</v>
      </c>
      <c r="W16" s="58">
        <v>264186.046852</v>
      </c>
      <c r="X16" s="58">
        <v>1729600.10574</v>
      </c>
      <c r="Y16" s="58">
        <v>122728.44919299999</v>
      </c>
      <c r="Z16" s="58">
        <v>251728.58915300001</v>
      </c>
      <c r="AA16" s="58">
        <v>374457.03834600002</v>
      </c>
      <c r="AB16" s="58">
        <v>433211.98400300002</v>
      </c>
      <c r="AC16" s="58" t="s">
        <v>26</v>
      </c>
      <c r="AD16" s="58" t="s">
        <v>26</v>
      </c>
      <c r="AE16" s="58">
        <v>420.691777</v>
      </c>
      <c r="AF16" s="58">
        <v>698778.63529799995</v>
      </c>
      <c r="AG16" s="58">
        <v>1692.569843</v>
      </c>
      <c r="AH16" s="58">
        <v>13776433.431128997</v>
      </c>
      <c r="AI16" s="59">
        <v>-6.5662331534491596</v>
      </c>
      <c r="AJ16" s="60">
        <v>1.3624435338997831</v>
      </c>
      <c r="AL16" s="113"/>
      <c r="AM16" s="113"/>
    </row>
    <row r="17" spans="1:39" s="61" customFormat="1" ht="8.25" customHeight="1" x14ac:dyDescent="0.25">
      <c r="A17" s="142"/>
      <c r="B17" s="55" t="s">
        <v>28</v>
      </c>
      <c r="C17" s="2">
        <v>765291</v>
      </c>
      <c r="D17" s="3">
        <v>362690</v>
      </c>
      <c r="E17" s="3">
        <v>31031</v>
      </c>
      <c r="F17" s="3">
        <v>479</v>
      </c>
      <c r="G17" s="3">
        <v>31510</v>
      </c>
      <c r="H17" s="3">
        <v>6518</v>
      </c>
      <c r="I17" s="3">
        <v>610</v>
      </c>
      <c r="J17" s="3">
        <v>444</v>
      </c>
      <c r="K17" s="3">
        <v>3</v>
      </c>
      <c r="L17" s="3" t="s">
        <v>26</v>
      </c>
      <c r="M17" s="3">
        <v>2</v>
      </c>
      <c r="N17" s="3">
        <v>11</v>
      </c>
      <c r="O17" s="3">
        <v>39</v>
      </c>
      <c r="P17" s="3">
        <v>803818</v>
      </c>
      <c r="Q17" s="4">
        <v>1.510243616603461</v>
      </c>
      <c r="R17" s="5">
        <v>3.8018721270506317</v>
      </c>
      <c r="S17" s="62">
        <v>2020712</v>
      </c>
      <c r="T17" s="58">
        <v>9098522</v>
      </c>
      <c r="U17" s="58">
        <v>11119234</v>
      </c>
      <c r="V17" s="58">
        <v>2934210</v>
      </c>
      <c r="W17" s="58">
        <v>612728</v>
      </c>
      <c r="X17" s="58">
        <v>3546938</v>
      </c>
      <c r="Y17" s="58">
        <v>362562</v>
      </c>
      <c r="Z17" s="58">
        <v>662472</v>
      </c>
      <c r="AA17" s="58">
        <v>1025034</v>
      </c>
      <c r="AB17" s="58">
        <v>2716236.2984822001</v>
      </c>
      <c r="AC17" s="58">
        <v>1464517.3580658999</v>
      </c>
      <c r="AD17" s="58" t="s">
        <v>26</v>
      </c>
      <c r="AE17" s="58">
        <v>177129</v>
      </c>
      <c r="AF17" s="58">
        <v>1730392</v>
      </c>
      <c r="AG17" s="58">
        <v>431632.64193410001</v>
      </c>
      <c r="AH17" s="58">
        <v>22211113.298482202</v>
      </c>
      <c r="AI17" s="59">
        <v>-9.7897373680948938</v>
      </c>
      <c r="AJ17" s="60">
        <v>2.1966053729011197</v>
      </c>
      <c r="AL17" s="113"/>
      <c r="AM17" s="113"/>
    </row>
    <row r="18" spans="1:39" s="61" customFormat="1" ht="8.25" customHeight="1" x14ac:dyDescent="0.25">
      <c r="A18" s="142"/>
      <c r="B18" s="55" t="s">
        <v>30</v>
      </c>
      <c r="C18" s="2">
        <v>382647</v>
      </c>
      <c r="D18" s="3">
        <v>328590</v>
      </c>
      <c r="E18" s="3">
        <v>11734</v>
      </c>
      <c r="F18" s="3">
        <v>84</v>
      </c>
      <c r="G18" s="3">
        <v>11818</v>
      </c>
      <c r="H18" s="3">
        <v>1982</v>
      </c>
      <c r="I18" s="3">
        <v>246</v>
      </c>
      <c r="J18" s="3">
        <v>653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397131</v>
      </c>
      <c r="Q18" s="4">
        <v>1.2157171584331776</v>
      </c>
      <c r="R18" s="5">
        <v>1.8783372351549039</v>
      </c>
      <c r="S18" s="62">
        <v>2040916.95496</v>
      </c>
      <c r="T18" s="58">
        <v>7609403.6723700007</v>
      </c>
      <c r="U18" s="58">
        <v>9650320.6273300014</v>
      </c>
      <c r="V18" s="58">
        <v>1540335.4436100002</v>
      </c>
      <c r="W18" s="58">
        <v>263229.89843</v>
      </c>
      <c r="X18" s="58">
        <v>1803565.3420400003</v>
      </c>
      <c r="Y18" s="58">
        <v>423574.32273999997</v>
      </c>
      <c r="Z18" s="58">
        <v>241258.15094000005</v>
      </c>
      <c r="AA18" s="58">
        <v>664832.47368000005</v>
      </c>
      <c r="AB18" s="58">
        <v>2406500.2405283097</v>
      </c>
      <c r="AC18" s="58">
        <v>7054.5011099999992</v>
      </c>
      <c r="AD18" s="58">
        <v>14270.37349</v>
      </c>
      <c r="AE18" s="58">
        <v>88171.184890000004</v>
      </c>
      <c r="AF18" s="58">
        <v>868113.06573000015</v>
      </c>
      <c r="AG18" s="58">
        <v>766.30971</v>
      </c>
      <c r="AH18" s="58">
        <v>15503594.118508313</v>
      </c>
      <c r="AI18" s="59">
        <v>-11.860245662297341</v>
      </c>
      <c r="AJ18" s="60">
        <v>1.5332539923751021</v>
      </c>
      <c r="AL18" s="113"/>
      <c r="AM18" s="113"/>
    </row>
    <row r="19" spans="1:39" s="61" customFormat="1" ht="8.25" customHeight="1" x14ac:dyDescent="0.25">
      <c r="A19" s="142"/>
      <c r="B19" s="55" t="s">
        <v>33</v>
      </c>
      <c r="C19" s="2">
        <v>2811024</v>
      </c>
      <c r="D19" s="3">
        <v>1970371</v>
      </c>
      <c r="E19" s="3">
        <v>78809</v>
      </c>
      <c r="F19" s="3">
        <v>1034</v>
      </c>
      <c r="G19" s="3">
        <v>79843</v>
      </c>
      <c r="H19" s="3">
        <v>24672</v>
      </c>
      <c r="I19" s="3">
        <v>2093</v>
      </c>
      <c r="J19" s="3">
        <v>1936</v>
      </c>
      <c r="K19" s="3">
        <v>26</v>
      </c>
      <c r="L19" s="3">
        <v>3</v>
      </c>
      <c r="M19" s="3">
        <v>37</v>
      </c>
      <c r="N19" s="3">
        <v>23</v>
      </c>
      <c r="O19" s="3">
        <v>1083</v>
      </c>
      <c r="P19" s="3">
        <v>2918647</v>
      </c>
      <c r="Q19" s="4">
        <v>0.27681672787991435</v>
      </c>
      <c r="R19" s="5">
        <v>13.804521269740096</v>
      </c>
      <c r="S19" s="62">
        <v>9915568.9273790009</v>
      </c>
      <c r="T19" s="58">
        <v>44104751.960444011</v>
      </c>
      <c r="U19" s="58">
        <v>54020320.887823015</v>
      </c>
      <c r="V19" s="58">
        <v>10590125.289797001</v>
      </c>
      <c r="W19" s="58">
        <v>2742860.2257509995</v>
      </c>
      <c r="X19" s="58">
        <v>13332985.515548</v>
      </c>
      <c r="Y19" s="58">
        <v>5248236.4638870005</v>
      </c>
      <c r="Z19" s="58">
        <v>3697120.6357240002</v>
      </c>
      <c r="AA19" s="58">
        <v>8945357.0996110011</v>
      </c>
      <c r="AB19" s="58">
        <v>47491033.084045298</v>
      </c>
      <c r="AC19" s="58">
        <v>43029.21315299999</v>
      </c>
      <c r="AD19" s="58">
        <v>296890.45206099999</v>
      </c>
      <c r="AE19" s="58">
        <v>1751143.984193</v>
      </c>
      <c r="AF19" s="58">
        <v>6177734.6784029994</v>
      </c>
      <c r="AG19" s="58">
        <v>9060500.5137280002</v>
      </c>
      <c r="AH19" s="58">
        <v>141118995.42856532</v>
      </c>
      <c r="AI19" s="59">
        <v>-5.606077612488658</v>
      </c>
      <c r="AJ19" s="60">
        <v>13.956200187316941</v>
      </c>
      <c r="AL19" s="113"/>
      <c r="AM19" s="113"/>
    </row>
    <row r="20" spans="1:39" s="61" customFormat="1" ht="8.25" customHeight="1" x14ac:dyDescent="0.25">
      <c r="A20" s="142"/>
      <c r="B20" s="55" t="s">
        <v>34</v>
      </c>
      <c r="C20" s="2">
        <v>11564</v>
      </c>
      <c r="D20" s="3">
        <v>6818</v>
      </c>
      <c r="E20" s="3">
        <v>668</v>
      </c>
      <c r="F20" s="3">
        <v>9</v>
      </c>
      <c r="G20" s="3">
        <v>677</v>
      </c>
      <c r="H20" s="3">
        <v>130</v>
      </c>
      <c r="I20" s="3">
        <v>11</v>
      </c>
      <c r="J20" s="3">
        <v>76</v>
      </c>
      <c r="K20" s="3" t="s">
        <v>26</v>
      </c>
      <c r="L20" s="3" t="s">
        <v>26</v>
      </c>
      <c r="M20" s="3">
        <v>1</v>
      </c>
      <c r="N20" s="3">
        <v>2</v>
      </c>
      <c r="O20" s="3" t="s">
        <v>26</v>
      </c>
      <c r="P20" s="3">
        <v>12450</v>
      </c>
      <c r="Q20" s="4">
        <v>-5.619330496909368E-2</v>
      </c>
      <c r="R20" s="5">
        <v>5.8885603434832727E-2</v>
      </c>
      <c r="S20" s="62">
        <v>41334</v>
      </c>
      <c r="T20" s="58">
        <v>122991</v>
      </c>
      <c r="U20" s="58">
        <v>164325</v>
      </c>
      <c r="V20" s="58">
        <v>91155</v>
      </c>
      <c r="W20" s="58">
        <v>9873</v>
      </c>
      <c r="X20" s="58">
        <v>101028</v>
      </c>
      <c r="Y20" s="58">
        <v>13099</v>
      </c>
      <c r="Z20" s="58">
        <v>15994</v>
      </c>
      <c r="AA20" s="58">
        <v>29093</v>
      </c>
      <c r="AB20" s="58">
        <v>455210.64019860001</v>
      </c>
      <c r="AC20" s="58" t="s">
        <v>26</v>
      </c>
      <c r="AD20" s="58" t="s">
        <v>26</v>
      </c>
      <c r="AE20" s="58">
        <v>65409</v>
      </c>
      <c r="AF20" s="58">
        <v>85860</v>
      </c>
      <c r="AG20" s="58" t="s">
        <v>26</v>
      </c>
      <c r="AH20" s="58">
        <v>900925.64019860001</v>
      </c>
      <c r="AI20" s="4">
        <v>-10.716871832005793</v>
      </c>
      <c r="AJ20" s="60">
        <v>8.9098555090431214E-2</v>
      </c>
      <c r="AL20" s="113"/>
      <c r="AM20" s="113"/>
    </row>
    <row r="21" spans="1:39" s="61" customFormat="1" ht="8.25" customHeight="1" x14ac:dyDescent="0.25">
      <c r="A21" s="146"/>
      <c r="B21" s="55" t="s">
        <v>31</v>
      </c>
      <c r="C21" s="2">
        <v>5088010</v>
      </c>
      <c r="D21" s="3">
        <v>3463131</v>
      </c>
      <c r="E21" s="3">
        <v>158100</v>
      </c>
      <c r="F21" s="3">
        <v>1945</v>
      </c>
      <c r="G21" s="3">
        <v>160045</v>
      </c>
      <c r="H21" s="3">
        <v>41553</v>
      </c>
      <c r="I21" s="3">
        <v>3897</v>
      </c>
      <c r="J21" s="3">
        <v>4917</v>
      </c>
      <c r="K21" s="3">
        <v>39</v>
      </c>
      <c r="L21" s="3">
        <v>5</v>
      </c>
      <c r="M21" s="3">
        <v>53</v>
      </c>
      <c r="N21" s="3">
        <v>55</v>
      </c>
      <c r="O21" s="3">
        <v>1310</v>
      </c>
      <c r="P21" s="3">
        <v>5295987</v>
      </c>
      <c r="Q21" s="4">
        <v>0.78283871090516388</v>
      </c>
      <c r="R21" s="5">
        <v>25.048786367713209</v>
      </c>
      <c r="S21" s="62">
        <v>18720088.235281002</v>
      </c>
      <c r="T21" s="58">
        <v>82550919.685993999</v>
      </c>
      <c r="U21" s="58">
        <v>101271007.92127502</v>
      </c>
      <c r="V21" s="58">
        <v>20302424.792295001</v>
      </c>
      <c r="W21" s="58">
        <v>4504453.1710329996</v>
      </c>
      <c r="X21" s="58">
        <v>24806877.963328</v>
      </c>
      <c r="Y21" s="58">
        <v>6899969.2358200001</v>
      </c>
      <c r="Z21" s="58">
        <v>5661902.3758170009</v>
      </c>
      <c r="AA21" s="58">
        <v>12561871.611637</v>
      </c>
      <c r="AB21" s="58">
        <v>61270366.247257411</v>
      </c>
      <c r="AC21" s="58">
        <v>1627159.0723289</v>
      </c>
      <c r="AD21" s="58">
        <v>311160.82555100002</v>
      </c>
      <c r="AE21" s="58">
        <v>2151867.8608599999</v>
      </c>
      <c r="AF21" s="58">
        <v>11801624.379430998</v>
      </c>
      <c r="AG21" s="58">
        <v>10597984.0352151</v>
      </c>
      <c r="AH21" s="58">
        <v>226399919.91688341</v>
      </c>
      <c r="AI21" s="4">
        <v>-6.4642154306064095</v>
      </c>
      <c r="AJ21" s="60">
        <v>22.390200519475677</v>
      </c>
      <c r="AL21" s="113"/>
      <c r="AM21" s="113"/>
    </row>
    <row r="22" spans="1:39" s="61" customFormat="1" ht="8.25" customHeight="1" x14ac:dyDescent="0.25">
      <c r="A22" s="144" t="s">
        <v>36</v>
      </c>
      <c r="B22" s="145"/>
      <c r="C22" s="14">
        <v>10739673</v>
      </c>
      <c r="D22" s="15">
        <v>8185095</v>
      </c>
      <c r="E22" s="15">
        <v>377543</v>
      </c>
      <c r="F22" s="15">
        <v>3284</v>
      </c>
      <c r="G22" s="15">
        <v>380827</v>
      </c>
      <c r="H22" s="15">
        <v>131786</v>
      </c>
      <c r="I22" s="15">
        <v>11309</v>
      </c>
      <c r="J22" s="15">
        <v>8187</v>
      </c>
      <c r="K22" s="15">
        <v>124</v>
      </c>
      <c r="L22" s="15">
        <v>7</v>
      </c>
      <c r="M22" s="15">
        <v>102</v>
      </c>
      <c r="N22" s="15">
        <v>99</v>
      </c>
      <c r="O22" s="15">
        <v>2120</v>
      </c>
      <c r="P22" s="15">
        <v>11262925</v>
      </c>
      <c r="Q22" s="16">
        <v>0.88529383048685573</v>
      </c>
      <c r="R22" s="17">
        <v>53.271014864760105</v>
      </c>
      <c r="S22" s="73">
        <v>40295951.857786</v>
      </c>
      <c r="T22" s="74">
        <v>189113393.43878597</v>
      </c>
      <c r="U22" s="74">
        <v>229409345.29657203</v>
      </c>
      <c r="V22" s="74">
        <v>50714299.948498003</v>
      </c>
      <c r="W22" s="74">
        <v>7309784.9406660004</v>
      </c>
      <c r="X22" s="74">
        <v>58024084.889164001</v>
      </c>
      <c r="Y22" s="74">
        <v>14841841.072253002</v>
      </c>
      <c r="Z22" s="74">
        <v>18239875.935539</v>
      </c>
      <c r="AA22" s="74">
        <v>33081717.007792003</v>
      </c>
      <c r="AB22" s="74">
        <v>81896651.710730836</v>
      </c>
      <c r="AC22" s="74">
        <v>3015617.8027449003</v>
      </c>
      <c r="AD22" s="74">
        <v>3593723.3622070001</v>
      </c>
      <c r="AE22" s="74">
        <v>7074161.7957469998</v>
      </c>
      <c r="AF22" s="74">
        <v>23951800.339402005</v>
      </c>
      <c r="AG22" s="74">
        <v>23306107.246330097</v>
      </c>
      <c r="AH22" s="74">
        <v>463353209.45068979</v>
      </c>
      <c r="AI22" s="75">
        <v>-6.0882360749602054</v>
      </c>
      <c r="AJ22" s="76">
        <v>45.824094260953359</v>
      </c>
      <c r="AL22" s="113"/>
      <c r="AM22" s="113"/>
    </row>
    <row r="23" spans="1:39" s="61" customFormat="1" ht="8.25" customHeight="1" x14ac:dyDescent="0.25">
      <c r="A23" s="77" t="s">
        <v>37</v>
      </c>
      <c r="B23" s="63" t="s">
        <v>38</v>
      </c>
      <c r="C23" s="18">
        <v>1522927</v>
      </c>
      <c r="D23" s="7">
        <v>1390073</v>
      </c>
      <c r="E23" s="7">
        <v>66226</v>
      </c>
      <c r="F23" s="7">
        <v>1058</v>
      </c>
      <c r="G23" s="7">
        <v>67284</v>
      </c>
      <c r="H23" s="7">
        <v>5225</v>
      </c>
      <c r="I23" s="7">
        <v>2063</v>
      </c>
      <c r="J23" s="7">
        <v>748</v>
      </c>
      <c r="K23" s="7">
        <v>9</v>
      </c>
      <c r="L23" s="7">
        <v>1</v>
      </c>
      <c r="M23" s="7">
        <v>2</v>
      </c>
      <c r="N23" s="7">
        <v>15</v>
      </c>
      <c r="O23" s="7">
        <v>2</v>
      </c>
      <c r="P23" s="19">
        <v>1596213</v>
      </c>
      <c r="Q23" s="66">
        <v>1.015526216865823</v>
      </c>
      <c r="R23" s="9">
        <v>7.5497161217288875</v>
      </c>
      <c r="S23" s="64">
        <v>6314829.0304247811</v>
      </c>
      <c r="T23" s="65">
        <v>21470686.96312432</v>
      </c>
      <c r="U23" s="65">
        <v>27785515.993549101</v>
      </c>
      <c r="V23" s="65">
        <v>5344356.082819121</v>
      </c>
      <c r="W23" s="65">
        <v>976651.33992129983</v>
      </c>
      <c r="X23" s="65">
        <v>6321007.4227404203</v>
      </c>
      <c r="Y23" s="65">
        <v>596035.70046586997</v>
      </c>
      <c r="Z23" s="65">
        <v>1528169.7915413</v>
      </c>
      <c r="AA23" s="65">
        <v>2124205.4920071699</v>
      </c>
      <c r="AB23" s="65">
        <v>13714243.080478201</v>
      </c>
      <c r="AC23" s="65">
        <v>90441.822516700006</v>
      </c>
      <c r="AD23" s="65">
        <v>7750.7252338000017</v>
      </c>
      <c r="AE23" s="65">
        <v>590895.61759499996</v>
      </c>
      <c r="AF23" s="65">
        <v>3650737.1054437999</v>
      </c>
      <c r="AG23" s="65">
        <v>2442671.3338485598</v>
      </c>
      <c r="AH23" s="78">
        <v>56727468.593412749</v>
      </c>
      <c r="AI23" s="66">
        <v>-7.9488534994616336</v>
      </c>
      <c r="AJ23" s="67">
        <v>5.610158330599532</v>
      </c>
      <c r="AL23" s="113"/>
      <c r="AM23" s="113"/>
    </row>
    <row r="24" spans="1:39" s="61" customFormat="1" ht="8.25" customHeight="1" x14ac:dyDescent="0.25">
      <c r="A24" s="79" t="s">
        <v>39</v>
      </c>
      <c r="B24" s="80" t="s">
        <v>40</v>
      </c>
      <c r="C24" s="20">
        <v>1054194</v>
      </c>
      <c r="D24" s="21">
        <v>922049</v>
      </c>
      <c r="E24" s="21">
        <v>19836</v>
      </c>
      <c r="F24" s="21">
        <v>966</v>
      </c>
      <c r="G24" s="21">
        <v>20802</v>
      </c>
      <c r="H24" s="21">
        <v>6873</v>
      </c>
      <c r="I24" s="21">
        <v>884</v>
      </c>
      <c r="J24" s="21">
        <v>1056</v>
      </c>
      <c r="K24" s="21">
        <v>16</v>
      </c>
      <c r="L24" s="21">
        <v>1</v>
      </c>
      <c r="M24" s="21">
        <v>31</v>
      </c>
      <c r="N24" s="21">
        <v>9</v>
      </c>
      <c r="O24" s="21">
        <v>52</v>
      </c>
      <c r="P24" s="21">
        <v>1083034</v>
      </c>
      <c r="Q24" s="22">
        <v>0.9216851808193316</v>
      </c>
      <c r="R24" s="23">
        <v>5.1224988458185239</v>
      </c>
      <c r="S24" s="81">
        <v>276765.7415453</v>
      </c>
      <c r="T24" s="82">
        <v>22689927.786390502</v>
      </c>
      <c r="U24" s="82">
        <v>22966693.527935803</v>
      </c>
      <c r="V24" s="82">
        <v>2159685.1234646002</v>
      </c>
      <c r="W24" s="82">
        <v>1028898.4572728999</v>
      </c>
      <c r="X24" s="82">
        <v>3188583.5807375</v>
      </c>
      <c r="Y24" s="82">
        <v>747010.76595070015</v>
      </c>
      <c r="Z24" s="82">
        <v>1258573.1612639001</v>
      </c>
      <c r="AA24" s="82">
        <v>2005583.9272146001</v>
      </c>
      <c r="AB24" s="82">
        <v>8238711.4271215005</v>
      </c>
      <c r="AC24" s="82">
        <v>206398.88730200002</v>
      </c>
      <c r="AD24" s="82">
        <v>2261.4231990000003</v>
      </c>
      <c r="AE24" s="82">
        <v>411297.66117400001</v>
      </c>
      <c r="AF24" s="82">
        <v>2513695.5409273999</v>
      </c>
      <c r="AG24" s="82">
        <v>103530.4251046</v>
      </c>
      <c r="AH24" s="82">
        <v>39636756.400716402</v>
      </c>
      <c r="AI24" s="22">
        <v>-4.7585644336271837</v>
      </c>
      <c r="AJ24" s="83">
        <v>3.9199436293063337</v>
      </c>
      <c r="AL24" s="113"/>
      <c r="AM24" s="113"/>
    </row>
    <row r="25" spans="1:39" s="61" customFormat="1" ht="8.25" customHeight="1" x14ac:dyDescent="0.25">
      <c r="A25" s="79" t="s">
        <v>41</v>
      </c>
      <c r="B25" s="80" t="s">
        <v>42</v>
      </c>
      <c r="C25" s="20">
        <v>665794</v>
      </c>
      <c r="D25" s="21">
        <v>626230</v>
      </c>
      <c r="E25" s="21">
        <v>17853</v>
      </c>
      <c r="F25" s="21">
        <v>146</v>
      </c>
      <c r="G25" s="21">
        <v>17999</v>
      </c>
      <c r="H25" s="21">
        <v>5854</v>
      </c>
      <c r="I25" s="21">
        <v>621</v>
      </c>
      <c r="J25" s="21">
        <v>690</v>
      </c>
      <c r="K25" s="21">
        <v>1</v>
      </c>
      <c r="L25" s="21" t="s">
        <v>26</v>
      </c>
      <c r="M25" s="21">
        <v>2</v>
      </c>
      <c r="N25" s="21">
        <v>7</v>
      </c>
      <c r="O25" s="21">
        <v>79</v>
      </c>
      <c r="P25" s="21">
        <v>690426</v>
      </c>
      <c r="Q25" s="22">
        <v>0.99809392293480281</v>
      </c>
      <c r="R25" s="23">
        <v>3.2655543483612708</v>
      </c>
      <c r="S25" s="81">
        <v>3280861</v>
      </c>
      <c r="T25" s="82">
        <v>11065120</v>
      </c>
      <c r="U25" s="82">
        <v>14345981</v>
      </c>
      <c r="V25" s="82">
        <v>2293729</v>
      </c>
      <c r="W25" s="82">
        <v>256950</v>
      </c>
      <c r="X25" s="82">
        <v>2550679</v>
      </c>
      <c r="Y25" s="82">
        <v>480212</v>
      </c>
      <c r="Z25" s="82">
        <v>790349</v>
      </c>
      <c r="AA25" s="82">
        <v>1270561</v>
      </c>
      <c r="AB25" s="82">
        <v>5728145.9419999998</v>
      </c>
      <c r="AC25" s="82">
        <v>70660</v>
      </c>
      <c r="AD25" s="82" t="s">
        <v>26</v>
      </c>
      <c r="AE25" s="82">
        <v>3670</v>
      </c>
      <c r="AF25" s="82">
        <v>1418360</v>
      </c>
      <c r="AG25" s="82">
        <v>606280</v>
      </c>
      <c r="AH25" s="82">
        <v>25994336.942000002</v>
      </c>
      <c r="AI25" s="22">
        <v>-6.8913851945945108</v>
      </c>
      <c r="AJ25" s="83">
        <v>2.5707536324035209</v>
      </c>
      <c r="AL25" s="113"/>
      <c r="AM25" s="113"/>
    </row>
    <row r="26" spans="1:39" s="61" customFormat="1" ht="8.25" customHeight="1" x14ac:dyDescent="0.25">
      <c r="A26" s="79" t="s">
        <v>43</v>
      </c>
      <c r="B26" s="80" t="s">
        <v>44</v>
      </c>
      <c r="C26" s="21">
        <v>642523</v>
      </c>
      <c r="D26" s="21">
        <v>558439</v>
      </c>
      <c r="E26" s="21">
        <v>20232</v>
      </c>
      <c r="F26" s="21">
        <v>141</v>
      </c>
      <c r="G26" s="21">
        <v>20373</v>
      </c>
      <c r="H26" s="21">
        <v>5921</v>
      </c>
      <c r="I26" s="21">
        <v>1190</v>
      </c>
      <c r="J26" s="21">
        <v>178</v>
      </c>
      <c r="K26" s="21">
        <v>8</v>
      </c>
      <c r="L26" s="21">
        <v>2</v>
      </c>
      <c r="M26" s="21">
        <v>1</v>
      </c>
      <c r="N26" s="21">
        <v>5</v>
      </c>
      <c r="O26" s="21">
        <v>61</v>
      </c>
      <c r="P26" s="21">
        <v>669072</v>
      </c>
      <c r="Q26" s="22">
        <v>-5.258251870264586E-2</v>
      </c>
      <c r="R26" s="23">
        <v>3.1645548964940082</v>
      </c>
      <c r="S26" s="81">
        <v>2169601</v>
      </c>
      <c r="T26" s="82">
        <v>12520644</v>
      </c>
      <c r="U26" s="82">
        <v>14690245</v>
      </c>
      <c r="V26" s="82">
        <v>2809631</v>
      </c>
      <c r="W26" s="82">
        <v>263213</v>
      </c>
      <c r="X26" s="82">
        <v>3072844</v>
      </c>
      <c r="Y26" s="82">
        <v>1028936</v>
      </c>
      <c r="Z26" s="82">
        <v>1819756</v>
      </c>
      <c r="AA26" s="82">
        <v>2848692</v>
      </c>
      <c r="AB26" s="82">
        <v>3373768</v>
      </c>
      <c r="AC26" s="82">
        <v>9401</v>
      </c>
      <c r="AD26" s="82">
        <v>1463702</v>
      </c>
      <c r="AE26" s="82">
        <v>39151</v>
      </c>
      <c r="AF26" s="82">
        <v>1342507</v>
      </c>
      <c r="AG26" s="82">
        <v>507972</v>
      </c>
      <c r="AH26" s="82">
        <v>27348282</v>
      </c>
      <c r="AI26" s="22">
        <v>-10.67522633524514</v>
      </c>
      <c r="AJ26" s="83">
        <v>2.704654304064988</v>
      </c>
      <c r="AL26" s="113"/>
      <c r="AM26" s="113"/>
    </row>
    <row r="27" spans="1:39" s="61" customFormat="1" ht="8.25" customHeight="1" x14ac:dyDescent="0.25">
      <c r="A27" s="79" t="s">
        <v>45</v>
      </c>
      <c r="B27" s="80" t="s">
        <v>46</v>
      </c>
      <c r="C27" s="20">
        <v>476965</v>
      </c>
      <c r="D27" s="21">
        <v>472363</v>
      </c>
      <c r="E27" s="21">
        <v>18476</v>
      </c>
      <c r="F27" s="21">
        <v>188</v>
      </c>
      <c r="G27" s="21">
        <v>18664</v>
      </c>
      <c r="H27" s="21">
        <v>3142</v>
      </c>
      <c r="I27" s="21">
        <v>370</v>
      </c>
      <c r="J27" s="21">
        <v>306</v>
      </c>
      <c r="K27" s="21">
        <v>2</v>
      </c>
      <c r="L27" s="21">
        <v>2</v>
      </c>
      <c r="M27" s="21" t="s">
        <v>26</v>
      </c>
      <c r="N27" s="21">
        <v>6</v>
      </c>
      <c r="O27" s="21">
        <v>12</v>
      </c>
      <c r="P27" s="21">
        <v>499099</v>
      </c>
      <c r="Q27" s="22">
        <v>1.213510033156566</v>
      </c>
      <c r="R27" s="23">
        <v>2.3606221517045443</v>
      </c>
      <c r="S27" s="81">
        <v>7599.1464679000001</v>
      </c>
      <c r="T27" s="82">
        <v>11733104.262630001</v>
      </c>
      <c r="U27" s="82">
        <v>11740703.409097901</v>
      </c>
      <c r="V27" s="82">
        <v>2090544.9557600003</v>
      </c>
      <c r="W27" s="82">
        <v>420170.09669999999</v>
      </c>
      <c r="X27" s="82">
        <v>2510715.0524600004</v>
      </c>
      <c r="Y27" s="82">
        <v>342151.08219000004</v>
      </c>
      <c r="Z27" s="82">
        <v>449093.66515000002</v>
      </c>
      <c r="AA27" s="82">
        <v>791244.74734</v>
      </c>
      <c r="AB27" s="82">
        <v>52201497.774612382</v>
      </c>
      <c r="AC27" s="82">
        <v>13783.220660000001</v>
      </c>
      <c r="AD27" s="82">
        <v>741590.15289999999</v>
      </c>
      <c r="AE27" s="82" t="s">
        <v>26</v>
      </c>
      <c r="AF27" s="82">
        <v>1335210.28202</v>
      </c>
      <c r="AG27" s="82">
        <v>1629130.32069</v>
      </c>
      <c r="AH27" s="82">
        <v>70963874.959780291</v>
      </c>
      <c r="AI27" s="22">
        <v>-19.218731360582673</v>
      </c>
      <c r="AJ27" s="83">
        <v>7.0180916608618915</v>
      </c>
      <c r="AL27" s="113"/>
      <c r="AM27" s="113"/>
    </row>
    <row r="28" spans="1:39" s="61" customFormat="1" ht="8.25" customHeight="1" x14ac:dyDescent="0.25">
      <c r="A28" s="150" t="s">
        <v>47</v>
      </c>
      <c r="B28" s="68" t="s">
        <v>48</v>
      </c>
      <c r="C28" s="24">
        <v>2367</v>
      </c>
      <c r="D28" s="11">
        <v>2367</v>
      </c>
      <c r="E28" s="11">
        <v>89</v>
      </c>
      <c r="F28" s="11">
        <v>3</v>
      </c>
      <c r="G28" s="11">
        <v>92</v>
      </c>
      <c r="H28" s="11">
        <v>28</v>
      </c>
      <c r="I28" s="11">
        <v>8</v>
      </c>
      <c r="J28" s="11">
        <v>11</v>
      </c>
      <c r="K28" s="11" t="s">
        <v>26</v>
      </c>
      <c r="L28" s="11" t="s">
        <v>26</v>
      </c>
      <c r="M28" s="11" t="s">
        <v>26</v>
      </c>
      <c r="N28" s="11" t="s">
        <v>26</v>
      </c>
      <c r="O28" s="11" t="s">
        <v>26</v>
      </c>
      <c r="P28" s="3">
        <v>2498</v>
      </c>
      <c r="Q28" s="12">
        <v>0.52313883299798791</v>
      </c>
      <c r="R28" s="13">
        <v>1.1814958825719851E-2</v>
      </c>
      <c r="S28" s="69" t="s">
        <v>26</v>
      </c>
      <c r="T28" s="70">
        <v>52867.654999999999</v>
      </c>
      <c r="U28" s="70">
        <v>52867.654999999999</v>
      </c>
      <c r="V28" s="70">
        <v>12081.833000000001</v>
      </c>
      <c r="W28" s="70">
        <v>413.65700000000004</v>
      </c>
      <c r="X28" s="70">
        <v>12495.49</v>
      </c>
      <c r="Y28" s="70">
        <v>11366.664999999999</v>
      </c>
      <c r="Z28" s="70">
        <v>4604.4310000000005</v>
      </c>
      <c r="AA28" s="70">
        <v>15971.096</v>
      </c>
      <c r="AB28" s="70">
        <v>491459.12089100003</v>
      </c>
      <c r="AC28" s="70" t="s">
        <v>26</v>
      </c>
      <c r="AD28" s="70" t="s">
        <v>26</v>
      </c>
      <c r="AE28" s="70" t="s">
        <v>26</v>
      </c>
      <c r="AF28" s="70" t="s">
        <v>26</v>
      </c>
      <c r="AG28" s="70" t="s">
        <v>26</v>
      </c>
      <c r="AH28" s="58">
        <v>572793.36189100007</v>
      </c>
      <c r="AI28" s="59">
        <v>-2.8469006465667244</v>
      </c>
      <c r="AJ28" s="72">
        <v>5.6647362038257015E-2</v>
      </c>
      <c r="AL28" s="113"/>
      <c r="AM28" s="113"/>
    </row>
    <row r="29" spans="1:39" s="61" customFormat="1" ht="8.25" customHeight="1" x14ac:dyDescent="0.25">
      <c r="A29" s="142"/>
      <c r="B29" s="55" t="s">
        <v>49</v>
      </c>
      <c r="C29" s="25">
        <v>110017</v>
      </c>
      <c r="D29" s="3">
        <v>35663</v>
      </c>
      <c r="E29" s="3">
        <v>3256</v>
      </c>
      <c r="F29" s="3">
        <v>461</v>
      </c>
      <c r="G29" s="3">
        <v>3717</v>
      </c>
      <c r="H29" s="3">
        <v>760</v>
      </c>
      <c r="I29" s="3">
        <v>396</v>
      </c>
      <c r="J29" s="3">
        <v>74</v>
      </c>
      <c r="K29" s="3" t="s">
        <v>26</v>
      </c>
      <c r="L29" s="3" t="s">
        <v>26</v>
      </c>
      <c r="M29" s="3">
        <v>1</v>
      </c>
      <c r="N29" s="3">
        <v>1</v>
      </c>
      <c r="O29" s="3">
        <v>14</v>
      </c>
      <c r="P29" s="3">
        <v>114584</v>
      </c>
      <c r="Q29" s="4">
        <v>-0.95857139152757731</v>
      </c>
      <c r="R29" s="5">
        <v>0.54195566136360418</v>
      </c>
      <c r="S29" s="62">
        <v>300135</v>
      </c>
      <c r="T29" s="58">
        <v>699225</v>
      </c>
      <c r="U29" s="58">
        <v>999360</v>
      </c>
      <c r="V29" s="58">
        <v>345292</v>
      </c>
      <c r="W29" s="58">
        <v>139199</v>
      </c>
      <c r="X29" s="58">
        <v>484491</v>
      </c>
      <c r="Y29" s="58">
        <v>49006</v>
      </c>
      <c r="Z29" s="58">
        <v>153850</v>
      </c>
      <c r="AA29" s="58">
        <v>202856</v>
      </c>
      <c r="AB29" s="58">
        <v>1723615.6969999999</v>
      </c>
      <c r="AC29" s="58" t="s">
        <v>26</v>
      </c>
      <c r="AD29" s="58" t="s">
        <v>26</v>
      </c>
      <c r="AE29" s="58">
        <v>134273</v>
      </c>
      <c r="AF29" s="58">
        <v>253138</v>
      </c>
      <c r="AG29" s="58">
        <v>716</v>
      </c>
      <c r="AH29" s="58">
        <v>3798449.6969999997</v>
      </c>
      <c r="AI29" s="59">
        <v>-7.0710028233817832</v>
      </c>
      <c r="AJ29" s="60">
        <v>0.37565406564717296</v>
      </c>
      <c r="AL29" s="113"/>
      <c r="AM29" s="113"/>
    </row>
    <row r="30" spans="1:39" s="61" customFormat="1" ht="8.25" customHeight="1" x14ac:dyDescent="0.25">
      <c r="A30" s="151"/>
      <c r="B30" s="63" t="s">
        <v>31</v>
      </c>
      <c r="C30" s="18">
        <v>112384</v>
      </c>
      <c r="D30" s="7">
        <v>38030</v>
      </c>
      <c r="E30" s="7">
        <v>3345</v>
      </c>
      <c r="F30" s="7">
        <v>464</v>
      </c>
      <c r="G30" s="7">
        <v>3809</v>
      </c>
      <c r="H30" s="7">
        <v>788</v>
      </c>
      <c r="I30" s="7">
        <v>404</v>
      </c>
      <c r="J30" s="7">
        <v>85</v>
      </c>
      <c r="K30" s="7" t="s">
        <v>26</v>
      </c>
      <c r="L30" s="7" t="s">
        <v>26</v>
      </c>
      <c r="M30" s="7">
        <v>1</v>
      </c>
      <c r="N30" s="7">
        <v>1</v>
      </c>
      <c r="O30" s="7">
        <v>14</v>
      </c>
      <c r="P30" s="7">
        <v>117082</v>
      </c>
      <c r="Q30" s="8">
        <v>-0.92741457800944349</v>
      </c>
      <c r="R30" s="9">
        <v>0.5537706201893241</v>
      </c>
      <c r="S30" s="64">
        <v>300135</v>
      </c>
      <c r="T30" s="65">
        <v>752092.65500000003</v>
      </c>
      <c r="U30" s="65">
        <v>1052227.655</v>
      </c>
      <c r="V30" s="65">
        <v>357373.83299999998</v>
      </c>
      <c r="W30" s="65">
        <v>139612.65700000001</v>
      </c>
      <c r="X30" s="65">
        <v>496986.49</v>
      </c>
      <c r="Y30" s="65">
        <v>60372.665000000001</v>
      </c>
      <c r="Z30" s="65">
        <v>158454.43100000001</v>
      </c>
      <c r="AA30" s="65">
        <v>218827.09599999999</v>
      </c>
      <c r="AB30" s="65">
        <v>2215074.8178909998</v>
      </c>
      <c r="AC30" s="84" t="s">
        <v>26</v>
      </c>
      <c r="AD30" s="84" t="s">
        <v>26</v>
      </c>
      <c r="AE30" s="65">
        <v>134273</v>
      </c>
      <c r="AF30" s="65">
        <v>253138</v>
      </c>
      <c r="AG30" s="65">
        <v>716</v>
      </c>
      <c r="AH30" s="65">
        <v>4371243.0588910002</v>
      </c>
      <c r="AI30" s="59">
        <v>-6.5389108731869534</v>
      </c>
      <c r="AJ30" s="67">
        <v>0.43230142768543001</v>
      </c>
      <c r="AL30" s="113"/>
      <c r="AM30" s="113"/>
    </row>
    <row r="31" spans="1:39" s="61" customFormat="1" ht="8.25" customHeight="1" x14ac:dyDescent="0.25">
      <c r="A31" s="150" t="s">
        <v>50</v>
      </c>
      <c r="B31" s="68" t="s">
        <v>51</v>
      </c>
      <c r="C31" s="24">
        <v>148618</v>
      </c>
      <c r="D31" s="11">
        <v>138241</v>
      </c>
      <c r="E31" s="11">
        <v>5252</v>
      </c>
      <c r="F31" s="11">
        <v>36</v>
      </c>
      <c r="G31" s="11">
        <v>5288</v>
      </c>
      <c r="H31" s="11">
        <v>1663</v>
      </c>
      <c r="I31" s="11">
        <v>291</v>
      </c>
      <c r="J31" s="11">
        <v>100</v>
      </c>
      <c r="K31" s="11">
        <v>2</v>
      </c>
      <c r="L31" s="11" t="s">
        <v>26</v>
      </c>
      <c r="M31" s="11">
        <v>1</v>
      </c>
      <c r="N31" s="11">
        <v>2</v>
      </c>
      <c r="O31" s="11">
        <v>10</v>
      </c>
      <c r="P31" s="11">
        <v>155684</v>
      </c>
      <c r="Q31" s="12">
        <v>1.8581036874198529</v>
      </c>
      <c r="R31" s="13">
        <v>0.73634909920871461</v>
      </c>
      <c r="S31" s="69">
        <v>155618.99970262</v>
      </c>
      <c r="T31" s="70">
        <v>3924783.24521631</v>
      </c>
      <c r="U31" s="70">
        <v>4080402.2449189299</v>
      </c>
      <c r="V31" s="70">
        <v>1204677.4202935998</v>
      </c>
      <c r="W31" s="70">
        <v>70053.670891949994</v>
      </c>
      <c r="X31" s="70">
        <v>1274731.0911855497</v>
      </c>
      <c r="Y31" s="70">
        <v>236636.30766104002</v>
      </c>
      <c r="Z31" s="70">
        <v>251559.96191216001</v>
      </c>
      <c r="AA31" s="70">
        <v>488196.26957320003</v>
      </c>
      <c r="AB31" s="70">
        <v>545535.94776270003</v>
      </c>
      <c r="AC31" s="70">
        <v>26409.765912809999</v>
      </c>
      <c r="AD31" s="70" t="s">
        <v>26</v>
      </c>
      <c r="AE31" s="70">
        <v>4217.72471391</v>
      </c>
      <c r="AF31" s="70">
        <v>152307.60803328999</v>
      </c>
      <c r="AG31" s="70">
        <v>1516709.25420963</v>
      </c>
      <c r="AH31" s="70">
        <v>8088509.90631002</v>
      </c>
      <c r="AI31" s="71">
        <v>13.796419330023074</v>
      </c>
      <c r="AJ31" s="72">
        <v>0.79992677900475384</v>
      </c>
      <c r="AL31" s="113"/>
      <c r="AM31" s="113"/>
    </row>
    <row r="32" spans="1:39" s="61" customFormat="1" ht="8.25" customHeight="1" x14ac:dyDescent="0.25">
      <c r="A32" s="142"/>
      <c r="B32" s="85" t="s">
        <v>52</v>
      </c>
      <c r="C32" s="25">
        <v>163765</v>
      </c>
      <c r="D32" s="3">
        <v>162562</v>
      </c>
      <c r="E32" s="3">
        <v>3982</v>
      </c>
      <c r="F32" s="3">
        <v>16</v>
      </c>
      <c r="G32" s="3">
        <v>3998</v>
      </c>
      <c r="H32" s="3">
        <v>1209</v>
      </c>
      <c r="I32" s="3">
        <v>167</v>
      </c>
      <c r="J32" s="3">
        <v>193</v>
      </c>
      <c r="K32" s="3" t="s">
        <v>26</v>
      </c>
      <c r="L32" s="3" t="s">
        <v>26</v>
      </c>
      <c r="M32" s="3" t="s">
        <v>26</v>
      </c>
      <c r="N32" s="3">
        <v>2</v>
      </c>
      <c r="O32" s="3">
        <v>7</v>
      </c>
      <c r="P32" s="3">
        <v>169174</v>
      </c>
      <c r="Q32" s="4">
        <v>2.5800544509729018</v>
      </c>
      <c r="R32" s="5">
        <v>0.8001536606814772</v>
      </c>
      <c r="S32" s="62">
        <v>1860.3508744000001</v>
      </c>
      <c r="T32" s="58">
        <v>4492840.8648572005</v>
      </c>
      <c r="U32" s="58">
        <v>4494701.2157316003</v>
      </c>
      <c r="V32" s="58">
        <v>505279.85046709992</v>
      </c>
      <c r="W32" s="58">
        <v>62414.954505600006</v>
      </c>
      <c r="X32" s="58">
        <v>567694.80497269996</v>
      </c>
      <c r="Y32" s="58">
        <v>183545.37538040002</v>
      </c>
      <c r="Z32" s="58">
        <v>197980.71796900002</v>
      </c>
      <c r="AA32" s="58">
        <v>381526.09334940003</v>
      </c>
      <c r="AB32" s="58">
        <v>2463416.2628798997</v>
      </c>
      <c r="AC32" s="58" t="s">
        <v>26</v>
      </c>
      <c r="AD32" s="58" t="s">
        <v>26</v>
      </c>
      <c r="AE32" s="58" t="s">
        <v>26</v>
      </c>
      <c r="AF32" s="58">
        <v>248976.9172883</v>
      </c>
      <c r="AG32" s="58">
        <v>1410.5348632999999</v>
      </c>
      <c r="AH32" s="58">
        <v>8157725.8290851992</v>
      </c>
      <c r="AI32" s="59">
        <v>3.1962303467790616E-2</v>
      </c>
      <c r="AJ32" s="60">
        <v>0.80677200399708504</v>
      </c>
      <c r="AL32" s="113"/>
      <c r="AM32" s="113"/>
    </row>
    <row r="33" spans="1:39" s="61" customFormat="1" ht="8.25" customHeight="1" x14ac:dyDescent="0.25">
      <c r="A33" s="142"/>
      <c r="B33" s="85" t="s">
        <v>53</v>
      </c>
      <c r="C33" s="25">
        <v>78928</v>
      </c>
      <c r="D33" s="3">
        <v>75623</v>
      </c>
      <c r="E33" s="3">
        <v>1133</v>
      </c>
      <c r="F33" s="3">
        <v>26</v>
      </c>
      <c r="G33" s="3">
        <v>1159</v>
      </c>
      <c r="H33" s="3">
        <v>176</v>
      </c>
      <c r="I33" s="3">
        <v>77</v>
      </c>
      <c r="J33" s="3">
        <v>35</v>
      </c>
      <c r="K33" s="3" t="s">
        <v>26</v>
      </c>
      <c r="L33" s="3" t="s">
        <v>26</v>
      </c>
      <c r="M33" s="3" t="s">
        <v>26</v>
      </c>
      <c r="N33" s="3">
        <v>2</v>
      </c>
      <c r="O33" s="3">
        <v>7</v>
      </c>
      <c r="P33" s="3">
        <v>80307</v>
      </c>
      <c r="Q33" s="4">
        <v>3.814830135994622</v>
      </c>
      <c r="R33" s="5">
        <v>0.37983342610771981</v>
      </c>
      <c r="S33" s="62">
        <v>1314</v>
      </c>
      <c r="T33" s="58">
        <v>1793668</v>
      </c>
      <c r="U33" s="58">
        <v>1794982</v>
      </c>
      <c r="V33" s="58">
        <v>178731</v>
      </c>
      <c r="W33" s="58">
        <v>89272</v>
      </c>
      <c r="X33" s="58">
        <v>268003</v>
      </c>
      <c r="Y33" s="58">
        <v>48648</v>
      </c>
      <c r="Z33" s="58">
        <v>220044</v>
      </c>
      <c r="AA33" s="58">
        <v>268692</v>
      </c>
      <c r="AB33" s="58">
        <v>223643.06400000001</v>
      </c>
      <c r="AC33" s="58" t="s">
        <v>26</v>
      </c>
      <c r="AD33" s="58" t="s">
        <v>26</v>
      </c>
      <c r="AE33" s="58" t="s">
        <v>26</v>
      </c>
      <c r="AF33" s="58">
        <v>48490</v>
      </c>
      <c r="AG33" s="58">
        <v>1694980</v>
      </c>
      <c r="AH33" s="58">
        <v>4298790.0640000002</v>
      </c>
      <c r="AI33" s="59">
        <v>11.987388396172127</v>
      </c>
      <c r="AJ33" s="60">
        <v>0.42513606700667367</v>
      </c>
      <c r="AL33" s="113"/>
      <c r="AM33" s="113"/>
    </row>
    <row r="34" spans="1:39" s="61" customFormat="1" ht="8.25" customHeight="1" x14ac:dyDescent="0.25">
      <c r="A34" s="142"/>
      <c r="B34" s="85" t="s">
        <v>54</v>
      </c>
      <c r="C34" s="25">
        <v>37875</v>
      </c>
      <c r="D34" s="3">
        <v>37439</v>
      </c>
      <c r="E34" s="3">
        <v>3479</v>
      </c>
      <c r="F34" s="3">
        <v>87</v>
      </c>
      <c r="G34" s="3">
        <v>3566</v>
      </c>
      <c r="H34" s="3">
        <v>231</v>
      </c>
      <c r="I34" s="3">
        <v>20</v>
      </c>
      <c r="J34" s="3" t="s">
        <v>26</v>
      </c>
      <c r="K34" s="3" t="s">
        <v>26</v>
      </c>
      <c r="L34" s="3" t="s">
        <v>26</v>
      </c>
      <c r="M34" s="3" t="s">
        <v>26</v>
      </c>
      <c r="N34" s="3">
        <v>1</v>
      </c>
      <c r="O34" s="3">
        <v>1</v>
      </c>
      <c r="P34" s="3">
        <v>41674</v>
      </c>
      <c r="Q34" s="4">
        <v>8.3539169548373682</v>
      </c>
      <c r="R34" s="5">
        <v>0.19710832430066016</v>
      </c>
      <c r="S34" s="62">
        <v>491</v>
      </c>
      <c r="T34" s="58">
        <v>761292</v>
      </c>
      <c r="U34" s="58">
        <v>761783</v>
      </c>
      <c r="V34" s="58">
        <v>158928</v>
      </c>
      <c r="W34" s="58">
        <v>349487</v>
      </c>
      <c r="X34" s="58">
        <v>508415</v>
      </c>
      <c r="Y34" s="58">
        <v>46950</v>
      </c>
      <c r="Z34" s="58">
        <v>27328</v>
      </c>
      <c r="AA34" s="58">
        <v>74278</v>
      </c>
      <c r="AB34" s="58" t="s">
        <v>26</v>
      </c>
      <c r="AC34" s="58" t="s">
        <v>26</v>
      </c>
      <c r="AD34" s="58" t="s">
        <v>26</v>
      </c>
      <c r="AE34" s="58" t="s">
        <v>26</v>
      </c>
      <c r="AF34" s="58">
        <v>9655</v>
      </c>
      <c r="AG34" s="58">
        <v>87</v>
      </c>
      <c r="AH34" s="58">
        <v>1354218</v>
      </c>
      <c r="AI34" s="59">
        <v>-4.8611729769858947</v>
      </c>
      <c r="AJ34" s="60">
        <v>0.13392766471920539</v>
      </c>
      <c r="AL34" s="113"/>
      <c r="AM34" s="113"/>
    </row>
    <row r="35" spans="1:39" s="61" customFormat="1" ht="8.25" customHeight="1" x14ac:dyDescent="0.25">
      <c r="A35" s="136"/>
      <c r="B35" s="85" t="s">
        <v>55</v>
      </c>
      <c r="C35" s="25">
        <v>1887</v>
      </c>
      <c r="D35" s="3">
        <v>1885</v>
      </c>
      <c r="E35" s="3">
        <v>40</v>
      </c>
      <c r="F35" s="3" t="s">
        <v>26</v>
      </c>
      <c r="G35" s="3">
        <v>40</v>
      </c>
      <c r="H35" s="3">
        <v>10</v>
      </c>
      <c r="I35" s="3">
        <v>3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>
        <v>1</v>
      </c>
      <c r="P35" s="3">
        <v>1938</v>
      </c>
      <c r="Q35" s="4">
        <v>17.525773195876287</v>
      </c>
      <c r="R35" s="5">
        <v>9.1662891129884183E-3</v>
      </c>
      <c r="S35" s="62">
        <v>1.2524999999999999</v>
      </c>
      <c r="T35" s="58">
        <v>45034.904699999999</v>
      </c>
      <c r="U35" s="58">
        <v>45036.157200000001</v>
      </c>
      <c r="V35" s="58">
        <v>403225.28200000006</v>
      </c>
      <c r="W35" s="58" t="s">
        <v>26</v>
      </c>
      <c r="X35" s="58">
        <v>403225.28200000006</v>
      </c>
      <c r="Y35" s="58">
        <v>8273.4159999999993</v>
      </c>
      <c r="Z35" s="58">
        <v>47808.853000000003</v>
      </c>
      <c r="AA35" s="58">
        <v>56082.269</v>
      </c>
      <c r="AB35" s="58" t="s">
        <v>26</v>
      </c>
      <c r="AC35" s="58" t="s">
        <v>26</v>
      </c>
      <c r="AD35" s="58" t="s">
        <v>26</v>
      </c>
      <c r="AE35" s="58" t="s">
        <v>26</v>
      </c>
      <c r="AF35" s="58" t="s">
        <v>26</v>
      </c>
      <c r="AG35" s="58">
        <v>8640.3590000000004</v>
      </c>
      <c r="AH35" s="58">
        <v>512984.06720000011</v>
      </c>
      <c r="AI35" s="59">
        <v>-6.0341890313847895</v>
      </c>
      <c r="AJ35" s="60">
        <v>5.0732421337078629E-2</v>
      </c>
      <c r="AL35" s="113"/>
      <c r="AM35" s="113"/>
    </row>
    <row r="36" spans="1:39" s="61" customFormat="1" ht="8.25" customHeight="1" x14ac:dyDescent="0.25">
      <c r="A36" s="151"/>
      <c r="B36" s="63" t="s">
        <v>31</v>
      </c>
      <c r="C36" s="18">
        <v>431073</v>
      </c>
      <c r="D36" s="7">
        <v>415750</v>
      </c>
      <c r="E36" s="7">
        <v>13886</v>
      </c>
      <c r="F36" s="7">
        <v>165</v>
      </c>
      <c r="G36" s="7">
        <v>14051</v>
      </c>
      <c r="H36" s="7">
        <v>3289</v>
      </c>
      <c r="I36" s="7">
        <v>558</v>
      </c>
      <c r="J36" s="7">
        <v>328</v>
      </c>
      <c r="K36" s="7">
        <v>2</v>
      </c>
      <c r="L36" s="7" t="s">
        <v>26</v>
      </c>
      <c r="M36" s="7">
        <v>1</v>
      </c>
      <c r="N36" s="7">
        <v>7</v>
      </c>
      <c r="O36" s="7">
        <v>26</v>
      </c>
      <c r="P36" s="7">
        <v>448777</v>
      </c>
      <c r="Q36" s="8">
        <v>3.1128440430210302</v>
      </c>
      <c r="R36" s="9">
        <v>2.1226107994115604</v>
      </c>
      <c r="S36" s="64">
        <v>159285.60307702</v>
      </c>
      <c r="T36" s="65">
        <v>11017619.01477351</v>
      </c>
      <c r="U36" s="65">
        <v>11176904.617850529</v>
      </c>
      <c r="V36" s="65">
        <v>2450841.5527606998</v>
      </c>
      <c r="W36" s="65">
        <v>571227.62539754994</v>
      </c>
      <c r="X36" s="65">
        <v>3022069.1781582497</v>
      </c>
      <c r="Y36" s="65">
        <v>524053.09904144006</v>
      </c>
      <c r="Z36" s="65">
        <v>744721.53288116003</v>
      </c>
      <c r="AA36" s="65">
        <v>1268774.6319226001</v>
      </c>
      <c r="AB36" s="65">
        <v>3232595.2746425997</v>
      </c>
      <c r="AC36" s="65">
        <v>26409.765912809999</v>
      </c>
      <c r="AD36" s="65" t="s">
        <v>26</v>
      </c>
      <c r="AE36" s="65">
        <v>4217.72471391</v>
      </c>
      <c r="AF36" s="65">
        <v>459429.52532159002</v>
      </c>
      <c r="AG36" s="65">
        <v>3221827.1480729301</v>
      </c>
      <c r="AH36" s="65">
        <v>22412227.86659522</v>
      </c>
      <c r="AI36" s="66">
        <v>6.3886009586473769</v>
      </c>
      <c r="AJ36" s="67">
        <v>2.2164949360647968</v>
      </c>
      <c r="AL36" s="113"/>
      <c r="AM36" s="113"/>
    </row>
    <row r="37" spans="1:39" s="61" customFormat="1" ht="8.25" customHeight="1" x14ac:dyDescent="0.25">
      <c r="A37" s="150" t="s">
        <v>56</v>
      </c>
      <c r="B37" s="68" t="s">
        <v>48</v>
      </c>
      <c r="C37" s="24">
        <v>466266</v>
      </c>
      <c r="D37" s="11">
        <v>393202</v>
      </c>
      <c r="E37" s="11">
        <v>9531</v>
      </c>
      <c r="F37" s="11">
        <v>366</v>
      </c>
      <c r="G37" s="11">
        <v>9897</v>
      </c>
      <c r="H37" s="11">
        <v>6521</v>
      </c>
      <c r="I37" s="11">
        <v>589</v>
      </c>
      <c r="J37" s="11">
        <v>502</v>
      </c>
      <c r="K37" s="11">
        <v>2</v>
      </c>
      <c r="L37" s="11" t="s">
        <v>26</v>
      </c>
      <c r="M37" s="11">
        <v>4</v>
      </c>
      <c r="N37" s="11">
        <v>3</v>
      </c>
      <c r="O37" s="11">
        <v>33</v>
      </c>
      <c r="P37" s="3">
        <v>483228</v>
      </c>
      <c r="Q37" s="12">
        <v>2.2471054235222425</v>
      </c>
      <c r="R37" s="13">
        <v>2.2855560141853291</v>
      </c>
      <c r="S37" s="69">
        <v>195520.57500000001</v>
      </c>
      <c r="T37" s="70">
        <v>9701174.523</v>
      </c>
      <c r="U37" s="70">
        <v>9896695.0979999993</v>
      </c>
      <c r="V37" s="70">
        <v>1233022.0689999999</v>
      </c>
      <c r="W37" s="70">
        <v>258858.90899999996</v>
      </c>
      <c r="X37" s="70">
        <v>1491880.9779999999</v>
      </c>
      <c r="Y37" s="70">
        <v>493878.57999999996</v>
      </c>
      <c r="Z37" s="70">
        <v>604864.53099999996</v>
      </c>
      <c r="AA37" s="70">
        <v>1098743.111</v>
      </c>
      <c r="AB37" s="70">
        <v>20143585.564681005</v>
      </c>
      <c r="AC37" s="70" t="s">
        <v>26</v>
      </c>
      <c r="AD37" s="70" t="s">
        <v>26</v>
      </c>
      <c r="AE37" s="70">
        <v>40458.182000000001</v>
      </c>
      <c r="AF37" s="70">
        <v>743691.14</v>
      </c>
      <c r="AG37" s="70">
        <v>2397382.642</v>
      </c>
      <c r="AH37" s="58">
        <v>35812436.715681002</v>
      </c>
      <c r="AI37" s="71">
        <v>-2.3718410490024455</v>
      </c>
      <c r="AJ37" s="72">
        <v>3.5417311077208296</v>
      </c>
      <c r="AL37" s="113"/>
      <c r="AM37" s="113"/>
    </row>
    <row r="38" spans="1:39" s="61" customFormat="1" ht="8.25" customHeight="1" x14ac:dyDescent="0.25">
      <c r="A38" s="142"/>
      <c r="B38" s="85" t="s">
        <v>57</v>
      </c>
      <c r="C38" s="25">
        <v>82521</v>
      </c>
      <c r="D38" s="3">
        <v>81099</v>
      </c>
      <c r="E38" s="3">
        <v>1599</v>
      </c>
      <c r="F38" s="3" t="s">
        <v>26</v>
      </c>
      <c r="G38" s="3">
        <v>1599</v>
      </c>
      <c r="H38" s="3">
        <v>459</v>
      </c>
      <c r="I38" s="3">
        <v>89</v>
      </c>
      <c r="J38" s="3">
        <v>223</v>
      </c>
      <c r="K38" s="3" t="s">
        <v>26</v>
      </c>
      <c r="L38" s="3" t="s">
        <v>26</v>
      </c>
      <c r="M38" s="3" t="s">
        <v>26</v>
      </c>
      <c r="N38" s="3" t="s">
        <v>26</v>
      </c>
      <c r="O38" s="3">
        <v>1</v>
      </c>
      <c r="P38" s="3">
        <v>84803</v>
      </c>
      <c r="Q38" s="4">
        <v>3.395596088663464</v>
      </c>
      <c r="R38" s="5">
        <v>0.40109846008707789</v>
      </c>
      <c r="S38" s="62">
        <v>664.5521857</v>
      </c>
      <c r="T38" s="58">
        <v>2263613.2959513003</v>
      </c>
      <c r="U38" s="58">
        <v>2264277.8481370001</v>
      </c>
      <c r="V38" s="58">
        <v>238150.21005559998</v>
      </c>
      <c r="W38" s="58" t="s">
        <v>26</v>
      </c>
      <c r="X38" s="58">
        <v>238150.21005559998</v>
      </c>
      <c r="Y38" s="58">
        <v>53544.11216859999</v>
      </c>
      <c r="Z38" s="58">
        <v>85815.773396300006</v>
      </c>
      <c r="AA38" s="58">
        <v>139359.8855649</v>
      </c>
      <c r="AB38" s="58">
        <v>3876524.1269489005</v>
      </c>
      <c r="AC38" s="58" t="s">
        <v>26</v>
      </c>
      <c r="AD38" s="58" t="s">
        <v>26</v>
      </c>
      <c r="AE38" s="58" t="s">
        <v>26</v>
      </c>
      <c r="AF38" s="58" t="s">
        <v>26</v>
      </c>
      <c r="AG38" s="58" t="s">
        <v>26</v>
      </c>
      <c r="AH38" s="58">
        <v>6518312.070706401</v>
      </c>
      <c r="AI38" s="59">
        <v>-2.8733438081526752</v>
      </c>
      <c r="AJ38" s="60">
        <v>0.64463942551399878</v>
      </c>
      <c r="AL38" s="113"/>
      <c r="AM38" s="113"/>
    </row>
    <row r="39" spans="1:39" s="61" customFormat="1" ht="8.25" customHeight="1" x14ac:dyDescent="0.25">
      <c r="A39" s="151"/>
      <c r="B39" s="63" t="s">
        <v>31</v>
      </c>
      <c r="C39" s="18">
        <v>548787</v>
      </c>
      <c r="D39" s="7">
        <v>474301</v>
      </c>
      <c r="E39" s="7">
        <v>11130</v>
      </c>
      <c r="F39" s="7">
        <v>366</v>
      </c>
      <c r="G39" s="7">
        <v>11496</v>
      </c>
      <c r="H39" s="7">
        <v>6980</v>
      </c>
      <c r="I39" s="7">
        <v>678</v>
      </c>
      <c r="J39" s="7">
        <v>725</v>
      </c>
      <c r="K39" s="7">
        <v>2</v>
      </c>
      <c r="L39" s="7" t="s">
        <v>26</v>
      </c>
      <c r="M39" s="7">
        <v>4</v>
      </c>
      <c r="N39" s="7">
        <v>3</v>
      </c>
      <c r="O39" s="7">
        <v>34</v>
      </c>
      <c r="P39" s="7">
        <v>568031</v>
      </c>
      <c r="Q39" s="8">
        <v>2.4169440307522545</v>
      </c>
      <c r="R39" s="9">
        <v>2.686654474272407</v>
      </c>
      <c r="S39" s="64">
        <v>196185.12718570002</v>
      </c>
      <c r="T39" s="65">
        <v>11964787.818951301</v>
      </c>
      <c r="U39" s="65">
        <v>12160972.946137</v>
      </c>
      <c r="V39" s="65">
        <v>1471172.2790555998</v>
      </c>
      <c r="W39" s="65">
        <v>258858.90899999996</v>
      </c>
      <c r="X39" s="65">
        <v>1730031.1880555998</v>
      </c>
      <c r="Y39" s="65">
        <v>547422.69216859993</v>
      </c>
      <c r="Z39" s="65">
        <v>690680.30439629999</v>
      </c>
      <c r="AA39" s="65">
        <v>1238102.9965649</v>
      </c>
      <c r="AB39" s="65">
        <v>24020109.691629905</v>
      </c>
      <c r="AC39" s="65" t="s">
        <v>26</v>
      </c>
      <c r="AD39" s="65" t="s">
        <v>26</v>
      </c>
      <c r="AE39" s="65">
        <v>40458.182000000001</v>
      </c>
      <c r="AF39" s="65">
        <v>743691.14</v>
      </c>
      <c r="AG39" s="65">
        <v>2397382.642</v>
      </c>
      <c r="AH39" s="65">
        <v>42330748.786387399</v>
      </c>
      <c r="AI39" s="66">
        <v>-2.4484660275953729</v>
      </c>
      <c r="AJ39" s="67">
        <v>4.186370533234828</v>
      </c>
      <c r="AL39" s="113"/>
      <c r="AM39" s="113"/>
    </row>
    <row r="40" spans="1:39" s="61" customFormat="1" ht="8.25" customHeight="1" x14ac:dyDescent="0.25">
      <c r="A40" s="150" t="s">
        <v>58</v>
      </c>
      <c r="B40" s="68" t="s">
        <v>44</v>
      </c>
      <c r="C40" s="11">
        <v>19920</v>
      </c>
      <c r="D40" s="11">
        <v>19870</v>
      </c>
      <c r="E40" s="11">
        <v>541</v>
      </c>
      <c r="F40" s="11">
        <v>8</v>
      </c>
      <c r="G40" s="11">
        <v>549</v>
      </c>
      <c r="H40" s="11">
        <v>337</v>
      </c>
      <c r="I40" s="11">
        <v>40</v>
      </c>
      <c r="J40" s="11">
        <v>4</v>
      </c>
      <c r="K40" s="11" t="s">
        <v>26</v>
      </c>
      <c r="L40" s="11" t="s">
        <v>26</v>
      </c>
      <c r="M40" s="11" t="s">
        <v>26</v>
      </c>
      <c r="N40" s="11" t="s">
        <v>26</v>
      </c>
      <c r="O40" s="11" t="s">
        <v>26</v>
      </c>
      <c r="P40" s="11">
        <v>20810</v>
      </c>
      <c r="Q40" s="12">
        <v>15.926689320929196</v>
      </c>
      <c r="R40" s="13">
        <v>9.8426458432037664E-2</v>
      </c>
      <c r="S40" s="69">
        <v>64595</v>
      </c>
      <c r="T40" s="70">
        <v>466637</v>
      </c>
      <c r="U40" s="70">
        <v>531232</v>
      </c>
      <c r="V40" s="70">
        <v>112757</v>
      </c>
      <c r="W40" s="70">
        <v>2994</v>
      </c>
      <c r="X40" s="70">
        <v>115751</v>
      </c>
      <c r="Y40" s="70">
        <v>168188</v>
      </c>
      <c r="Z40" s="70">
        <v>24156</v>
      </c>
      <c r="AA40" s="70">
        <v>192344</v>
      </c>
      <c r="AB40" s="70">
        <v>65582</v>
      </c>
      <c r="AC40" s="70" t="s">
        <v>26</v>
      </c>
      <c r="AD40" s="70" t="s">
        <v>26</v>
      </c>
      <c r="AE40" s="70" t="s">
        <v>26</v>
      </c>
      <c r="AF40" s="70" t="s">
        <v>26</v>
      </c>
      <c r="AG40" s="70" t="s">
        <v>26</v>
      </c>
      <c r="AH40" s="70">
        <v>904909</v>
      </c>
      <c r="AI40" s="4">
        <v>-4.3299620733249045</v>
      </c>
      <c r="AJ40" s="72">
        <v>8.9492496151573411E-2</v>
      </c>
      <c r="AL40" s="113"/>
      <c r="AM40" s="113"/>
    </row>
    <row r="41" spans="1:39" s="61" customFormat="1" ht="8.25" customHeight="1" x14ac:dyDescent="0.25">
      <c r="A41" s="142"/>
      <c r="B41" s="55" t="s">
        <v>49</v>
      </c>
      <c r="C41" s="25">
        <v>551679</v>
      </c>
      <c r="D41" s="3">
        <v>518221</v>
      </c>
      <c r="E41" s="3">
        <v>8361</v>
      </c>
      <c r="F41" s="3">
        <v>3267</v>
      </c>
      <c r="G41" s="3">
        <v>11628</v>
      </c>
      <c r="H41" s="3">
        <v>4315</v>
      </c>
      <c r="I41" s="3">
        <v>452</v>
      </c>
      <c r="J41" s="3">
        <v>475</v>
      </c>
      <c r="K41" s="3">
        <v>3</v>
      </c>
      <c r="L41" s="3" t="s">
        <v>26</v>
      </c>
      <c r="M41" s="3">
        <v>6</v>
      </c>
      <c r="N41" s="3">
        <v>2</v>
      </c>
      <c r="O41" s="3">
        <v>97</v>
      </c>
      <c r="P41" s="3">
        <v>568205</v>
      </c>
      <c r="Q41" s="4">
        <v>3.1888000639249174</v>
      </c>
      <c r="R41" s="5">
        <v>2.6874774537902915</v>
      </c>
      <c r="S41" s="62">
        <v>2698877</v>
      </c>
      <c r="T41" s="58">
        <v>10301092</v>
      </c>
      <c r="U41" s="58">
        <v>12999969</v>
      </c>
      <c r="V41" s="58">
        <v>924599</v>
      </c>
      <c r="W41" s="58">
        <v>1014441</v>
      </c>
      <c r="X41" s="58">
        <v>1939040</v>
      </c>
      <c r="Y41" s="58">
        <v>556179</v>
      </c>
      <c r="Z41" s="58">
        <v>582585</v>
      </c>
      <c r="AA41" s="58">
        <v>1138764</v>
      </c>
      <c r="AB41" s="58">
        <v>19119253.196000002</v>
      </c>
      <c r="AC41" s="58">
        <v>334436</v>
      </c>
      <c r="AD41" s="58" t="s">
        <v>26</v>
      </c>
      <c r="AE41" s="58">
        <v>142294</v>
      </c>
      <c r="AF41" s="58">
        <v>462558</v>
      </c>
      <c r="AG41" s="58">
        <v>401467</v>
      </c>
      <c r="AH41" s="58">
        <v>36537781.196000002</v>
      </c>
      <c r="AI41" s="59">
        <v>-6.0655962974974029</v>
      </c>
      <c r="AJ41" s="60">
        <v>3.6134652689608138</v>
      </c>
      <c r="AL41" s="113"/>
      <c r="AM41" s="113"/>
    </row>
    <row r="42" spans="1:39" s="61" customFormat="1" ht="8.25" customHeight="1" x14ac:dyDescent="0.25">
      <c r="A42" s="142"/>
      <c r="B42" s="55" t="s">
        <v>59</v>
      </c>
      <c r="C42" s="25">
        <v>197067</v>
      </c>
      <c r="D42" s="3">
        <v>183659</v>
      </c>
      <c r="E42" s="3">
        <v>4003</v>
      </c>
      <c r="F42" s="3" t="s">
        <v>26</v>
      </c>
      <c r="G42" s="3">
        <v>4003</v>
      </c>
      <c r="H42" s="3">
        <v>1303</v>
      </c>
      <c r="I42" s="3">
        <v>122</v>
      </c>
      <c r="J42" s="3">
        <v>220</v>
      </c>
      <c r="K42" s="3" t="s">
        <v>26</v>
      </c>
      <c r="L42" s="3" t="s">
        <v>26</v>
      </c>
      <c r="M42" s="3">
        <v>1</v>
      </c>
      <c r="N42" s="3" t="s">
        <v>26</v>
      </c>
      <c r="O42" s="3">
        <v>7</v>
      </c>
      <c r="P42" s="3">
        <v>202601</v>
      </c>
      <c r="Q42" s="4">
        <v>3.5903650187392304</v>
      </c>
      <c r="R42" s="5">
        <v>0.95825559369482283</v>
      </c>
      <c r="S42" s="62">
        <v>826392</v>
      </c>
      <c r="T42" s="58">
        <v>3279724</v>
      </c>
      <c r="U42" s="58">
        <v>4106116</v>
      </c>
      <c r="V42" s="58">
        <v>511612</v>
      </c>
      <c r="W42" s="58">
        <v>6692</v>
      </c>
      <c r="X42" s="58">
        <v>518304</v>
      </c>
      <c r="Y42" s="58">
        <v>84688</v>
      </c>
      <c r="Z42" s="58">
        <v>71154</v>
      </c>
      <c r="AA42" s="58">
        <v>155842</v>
      </c>
      <c r="AB42" s="58">
        <v>21728048.310000002</v>
      </c>
      <c r="AC42" s="58" t="s">
        <v>26</v>
      </c>
      <c r="AD42" s="58" t="s">
        <v>26</v>
      </c>
      <c r="AE42" s="58">
        <v>361061</v>
      </c>
      <c r="AF42" s="58" t="s">
        <v>26</v>
      </c>
      <c r="AG42" s="58">
        <v>262732</v>
      </c>
      <c r="AH42" s="58">
        <v>27132103.310000002</v>
      </c>
      <c r="AI42" s="59">
        <v>-0.6373954273127066</v>
      </c>
      <c r="AJ42" s="60">
        <v>2.6832749492537564</v>
      </c>
      <c r="AL42" s="113"/>
      <c r="AM42" s="113"/>
    </row>
    <row r="43" spans="1:39" s="61" customFormat="1" ht="8.25" customHeight="1" x14ac:dyDescent="0.25">
      <c r="A43" s="151"/>
      <c r="B43" s="63" t="s">
        <v>31</v>
      </c>
      <c r="C43" s="18">
        <v>768666</v>
      </c>
      <c r="D43" s="7">
        <v>721750</v>
      </c>
      <c r="E43" s="7">
        <v>12905</v>
      </c>
      <c r="F43" s="7">
        <v>3275</v>
      </c>
      <c r="G43" s="7">
        <v>16180</v>
      </c>
      <c r="H43" s="7">
        <v>5955</v>
      </c>
      <c r="I43" s="7">
        <v>614</v>
      </c>
      <c r="J43" s="7">
        <v>699</v>
      </c>
      <c r="K43" s="7">
        <v>3</v>
      </c>
      <c r="L43" s="7" t="s">
        <v>26</v>
      </c>
      <c r="M43" s="7">
        <v>7</v>
      </c>
      <c r="N43" s="7">
        <v>2</v>
      </c>
      <c r="O43" s="7">
        <v>104</v>
      </c>
      <c r="P43" s="7">
        <v>791616</v>
      </c>
      <c r="Q43" s="8">
        <v>3.5907958376080904</v>
      </c>
      <c r="R43" s="9">
        <v>3.7441595059171515</v>
      </c>
      <c r="S43" s="64">
        <v>3589864</v>
      </c>
      <c r="T43" s="65">
        <v>14047453</v>
      </c>
      <c r="U43" s="65">
        <v>17637317</v>
      </c>
      <c r="V43" s="65">
        <v>1548968</v>
      </c>
      <c r="W43" s="65">
        <v>1024127</v>
      </c>
      <c r="X43" s="65">
        <v>2573095</v>
      </c>
      <c r="Y43" s="65">
        <v>809055</v>
      </c>
      <c r="Z43" s="65">
        <v>677895</v>
      </c>
      <c r="AA43" s="65">
        <v>1486950</v>
      </c>
      <c r="AB43" s="65">
        <v>40912883.506000005</v>
      </c>
      <c r="AC43" s="65">
        <v>334436</v>
      </c>
      <c r="AD43" s="65" t="s">
        <v>26</v>
      </c>
      <c r="AE43" s="65">
        <v>503355</v>
      </c>
      <c r="AF43" s="65">
        <v>462558</v>
      </c>
      <c r="AG43" s="65">
        <v>664199</v>
      </c>
      <c r="AH43" s="65">
        <v>64574793.506000005</v>
      </c>
      <c r="AI43" s="4">
        <v>-3.8306949261661623</v>
      </c>
      <c r="AJ43" s="67">
        <v>6.3862327143661437</v>
      </c>
      <c r="AL43" s="113"/>
      <c r="AM43" s="113"/>
    </row>
    <row r="44" spans="1:39" s="61" customFormat="1" ht="8.25" customHeight="1" x14ac:dyDescent="0.25">
      <c r="A44" s="150" t="s">
        <v>60</v>
      </c>
      <c r="B44" s="68" t="s">
        <v>61</v>
      </c>
      <c r="C44" s="24">
        <v>383165</v>
      </c>
      <c r="D44" s="11">
        <v>370616</v>
      </c>
      <c r="E44" s="11">
        <v>10103</v>
      </c>
      <c r="F44" s="11" t="s">
        <v>26</v>
      </c>
      <c r="G44" s="11">
        <v>10103</v>
      </c>
      <c r="H44" s="11">
        <v>3140</v>
      </c>
      <c r="I44" s="11">
        <v>375</v>
      </c>
      <c r="J44" s="11">
        <v>441</v>
      </c>
      <c r="K44" s="11">
        <v>5</v>
      </c>
      <c r="L44" s="11" t="s">
        <v>26</v>
      </c>
      <c r="M44" s="11">
        <v>1</v>
      </c>
      <c r="N44" s="11">
        <v>5</v>
      </c>
      <c r="O44" s="11">
        <v>5</v>
      </c>
      <c r="P44" s="3">
        <v>396865</v>
      </c>
      <c r="Q44" s="12">
        <v>1.2457204667561266</v>
      </c>
      <c r="R44" s="13">
        <v>1.8770791170413563</v>
      </c>
      <c r="S44" s="69">
        <v>1682377</v>
      </c>
      <c r="T44" s="70">
        <v>8096307</v>
      </c>
      <c r="U44" s="70">
        <v>9778684</v>
      </c>
      <c r="V44" s="70">
        <v>1432764</v>
      </c>
      <c r="W44" s="70" t="s">
        <v>26</v>
      </c>
      <c r="X44" s="70">
        <v>1432764</v>
      </c>
      <c r="Y44" s="70">
        <v>416879</v>
      </c>
      <c r="Z44" s="70">
        <v>402884</v>
      </c>
      <c r="AA44" s="70">
        <v>819763</v>
      </c>
      <c r="AB44" s="70">
        <v>7260711.4380000001</v>
      </c>
      <c r="AC44" s="70">
        <v>58443</v>
      </c>
      <c r="AD44" s="70" t="s">
        <v>26</v>
      </c>
      <c r="AE44" s="70">
        <v>17585</v>
      </c>
      <c r="AF44" s="70">
        <v>591823</v>
      </c>
      <c r="AG44" s="70">
        <v>15370</v>
      </c>
      <c r="AH44" s="58">
        <v>19975143.438000001</v>
      </c>
      <c r="AI44" s="71">
        <v>-7.3376638789768096</v>
      </c>
      <c r="AJ44" s="72">
        <v>1.9754753762558908</v>
      </c>
      <c r="AL44" s="113"/>
      <c r="AM44" s="113"/>
    </row>
    <row r="45" spans="1:39" s="61" customFormat="1" ht="8.25" customHeight="1" x14ac:dyDescent="0.25">
      <c r="A45" s="142"/>
      <c r="B45" s="55" t="s">
        <v>62</v>
      </c>
      <c r="C45" s="25">
        <v>125947</v>
      </c>
      <c r="D45" s="3">
        <v>118929</v>
      </c>
      <c r="E45" s="3">
        <v>1941</v>
      </c>
      <c r="F45" s="3" t="s">
        <v>26</v>
      </c>
      <c r="G45" s="3">
        <v>1941</v>
      </c>
      <c r="H45" s="3">
        <v>886</v>
      </c>
      <c r="I45" s="3">
        <v>124</v>
      </c>
      <c r="J45" s="3">
        <v>152</v>
      </c>
      <c r="K45" s="3">
        <v>2</v>
      </c>
      <c r="L45" s="3" t="s">
        <v>26</v>
      </c>
      <c r="M45" s="3" t="s">
        <v>26</v>
      </c>
      <c r="N45" s="3">
        <v>1</v>
      </c>
      <c r="O45" s="3">
        <v>2</v>
      </c>
      <c r="P45" s="3">
        <v>128931</v>
      </c>
      <c r="Q45" s="4">
        <v>1.8211253701875616</v>
      </c>
      <c r="R45" s="5">
        <v>0.6098136334503147</v>
      </c>
      <c r="S45" s="62">
        <v>204151.67562208002</v>
      </c>
      <c r="T45" s="58">
        <v>2877514.1426921999</v>
      </c>
      <c r="U45" s="58">
        <v>3081665.8183142799</v>
      </c>
      <c r="V45" s="58">
        <v>392309.16645099997</v>
      </c>
      <c r="W45" s="58" t="s">
        <v>26</v>
      </c>
      <c r="X45" s="58">
        <v>392309.16645099997</v>
      </c>
      <c r="Y45" s="58">
        <v>104175.89507500001</v>
      </c>
      <c r="Z45" s="58">
        <v>97084.008451000016</v>
      </c>
      <c r="AA45" s="58">
        <v>201259.90352600004</v>
      </c>
      <c r="AB45" s="58">
        <v>8475026.0618975405</v>
      </c>
      <c r="AC45" s="58">
        <v>53765.107560000004</v>
      </c>
      <c r="AD45" s="58" t="s">
        <v>26</v>
      </c>
      <c r="AE45" s="58">
        <v>45.738461999999998</v>
      </c>
      <c r="AF45" s="58">
        <v>167274.10638600003</v>
      </c>
      <c r="AG45" s="58">
        <v>4397.6848430000009</v>
      </c>
      <c r="AH45" s="58">
        <v>12375743.58743982</v>
      </c>
      <c r="AI45" s="59">
        <v>-4.3382854153412129</v>
      </c>
      <c r="AJ45" s="60">
        <v>1.2239199581082931</v>
      </c>
      <c r="AL45" s="113"/>
      <c r="AM45" s="113"/>
    </row>
    <row r="46" spans="1:39" s="61" customFormat="1" ht="8.25" customHeight="1" x14ac:dyDescent="0.25">
      <c r="A46" s="142"/>
      <c r="B46" s="55" t="s">
        <v>63</v>
      </c>
      <c r="C46" s="25">
        <v>123316</v>
      </c>
      <c r="D46" s="3">
        <v>113222</v>
      </c>
      <c r="E46" s="3">
        <v>2245</v>
      </c>
      <c r="F46" s="3">
        <v>126</v>
      </c>
      <c r="G46" s="3">
        <v>2371</v>
      </c>
      <c r="H46" s="3">
        <v>870</v>
      </c>
      <c r="I46" s="3">
        <v>141</v>
      </c>
      <c r="J46" s="3">
        <v>149</v>
      </c>
      <c r="K46" s="3" t="s">
        <v>26</v>
      </c>
      <c r="L46" s="3">
        <v>1</v>
      </c>
      <c r="M46" s="3">
        <v>2</v>
      </c>
      <c r="N46" s="3">
        <v>1</v>
      </c>
      <c r="O46" s="3">
        <v>2</v>
      </c>
      <c r="P46" s="3">
        <v>126712</v>
      </c>
      <c r="Q46" s="4">
        <v>-1.4711828558987279</v>
      </c>
      <c r="R46" s="5">
        <v>0.5993182797136164</v>
      </c>
      <c r="S46" s="62">
        <v>486797.24739587994</v>
      </c>
      <c r="T46" s="58">
        <v>2259889.6739729005</v>
      </c>
      <c r="U46" s="58">
        <v>2746686.9213687805</v>
      </c>
      <c r="V46" s="58">
        <v>285709.37479740003</v>
      </c>
      <c r="W46" s="58">
        <v>97657.518346299999</v>
      </c>
      <c r="X46" s="58">
        <v>383366.89314370003</v>
      </c>
      <c r="Y46" s="58">
        <v>141717.16021</v>
      </c>
      <c r="Z46" s="58">
        <v>121887.9025541</v>
      </c>
      <c r="AA46" s="58">
        <v>263605.06276410003</v>
      </c>
      <c r="AB46" s="58">
        <v>3123856.5447011301</v>
      </c>
      <c r="AC46" s="58">
        <v>65.135726559999995</v>
      </c>
      <c r="AD46" s="58">
        <v>25538.201659440001</v>
      </c>
      <c r="AE46" s="58">
        <v>81855.85918900001</v>
      </c>
      <c r="AF46" s="58">
        <v>197616.50284979999</v>
      </c>
      <c r="AG46" s="58">
        <v>922818.99093000009</v>
      </c>
      <c r="AH46" s="58">
        <v>7745410.1123325108</v>
      </c>
      <c r="AI46" s="59">
        <v>-6.6017771958945648</v>
      </c>
      <c r="AJ46" s="60">
        <v>0.76599534833919758</v>
      </c>
      <c r="AL46" s="113"/>
      <c r="AM46" s="113"/>
    </row>
    <row r="47" spans="1:39" s="61" customFormat="1" ht="8.25" customHeight="1" x14ac:dyDescent="0.25">
      <c r="A47" s="151"/>
      <c r="B47" s="63" t="s">
        <v>31</v>
      </c>
      <c r="C47" s="18">
        <v>632428</v>
      </c>
      <c r="D47" s="7">
        <v>602767</v>
      </c>
      <c r="E47" s="7">
        <v>14289</v>
      </c>
      <c r="F47" s="7">
        <v>126</v>
      </c>
      <c r="G47" s="7">
        <v>14415</v>
      </c>
      <c r="H47" s="7">
        <v>4896</v>
      </c>
      <c r="I47" s="7">
        <v>640</v>
      </c>
      <c r="J47" s="7">
        <v>742</v>
      </c>
      <c r="K47" s="7">
        <v>7</v>
      </c>
      <c r="L47" s="7">
        <v>1</v>
      </c>
      <c r="M47" s="7">
        <v>3</v>
      </c>
      <c r="N47" s="7">
        <v>7</v>
      </c>
      <c r="O47" s="7">
        <v>9</v>
      </c>
      <c r="P47" s="7">
        <v>652508</v>
      </c>
      <c r="Q47" s="8">
        <v>0.81843479174488687</v>
      </c>
      <c r="R47" s="9">
        <v>3.0862110302052872</v>
      </c>
      <c r="S47" s="64">
        <v>2373325.92301796</v>
      </c>
      <c r="T47" s="65">
        <v>13233710.816665102</v>
      </c>
      <c r="U47" s="65">
        <v>15607036.739683062</v>
      </c>
      <c r="V47" s="65">
        <v>2110782.5412483998</v>
      </c>
      <c r="W47" s="65">
        <v>97657.518346299999</v>
      </c>
      <c r="X47" s="65">
        <v>2208440.0595947001</v>
      </c>
      <c r="Y47" s="65">
        <v>662772.05528500001</v>
      </c>
      <c r="Z47" s="65">
        <v>621855.9110051</v>
      </c>
      <c r="AA47" s="65">
        <v>1284627.9662901</v>
      </c>
      <c r="AB47" s="65">
        <v>18859594.044598669</v>
      </c>
      <c r="AC47" s="65">
        <v>112273.24328656</v>
      </c>
      <c r="AD47" s="65">
        <v>25538.201659440001</v>
      </c>
      <c r="AE47" s="65">
        <v>99486.597651000018</v>
      </c>
      <c r="AF47" s="65">
        <v>956713.6092358001</v>
      </c>
      <c r="AG47" s="65">
        <v>942586.67577300011</v>
      </c>
      <c r="AH47" s="65">
        <v>40096297.137772329</v>
      </c>
      <c r="AI47" s="66">
        <v>-6.287989973811162</v>
      </c>
      <c r="AJ47" s="67">
        <v>3.9653906827033811</v>
      </c>
      <c r="AL47" s="113"/>
      <c r="AM47" s="113"/>
    </row>
    <row r="48" spans="1:39" s="61" customFormat="1" ht="8.25" customHeight="1" x14ac:dyDescent="0.25">
      <c r="A48" s="150" t="s">
        <v>64</v>
      </c>
      <c r="B48" s="68" t="s">
        <v>42</v>
      </c>
      <c r="C48" s="24">
        <v>89780</v>
      </c>
      <c r="D48" s="11">
        <v>77102</v>
      </c>
      <c r="E48" s="11">
        <v>3419</v>
      </c>
      <c r="F48" s="11">
        <v>28</v>
      </c>
      <c r="G48" s="11">
        <v>3447</v>
      </c>
      <c r="H48" s="11">
        <v>668</v>
      </c>
      <c r="I48" s="11">
        <v>122</v>
      </c>
      <c r="J48" s="11">
        <v>291</v>
      </c>
      <c r="K48" s="11">
        <v>3</v>
      </c>
      <c r="L48" s="11" t="s">
        <v>26</v>
      </c>
      <c r="M48" s="11">
        <v>1</v>
      </c>
      <c r="N48" s="11">
        <v>1</v>
      </c>
      <c r="O48" s="11">
        <v>15</v>
      </c>
      <c r="P48" s="11">
        <v>94206</v>
      </c>
      <c r="Q48" s="4">
        <v>2.4657653444131435</v>
      </c>
      <c r="R48" s="13">
        <v>0.44557246242424509</v>
      </c>
      <c r="S48" s="69">
        <v>407996</v>
      </c>
      <c r="T48" s="70">
        <v>1394231</v>
      </c>
      <c r="U48" s="70">
        <v>1802227</v>
      </c>
      <c r="V48" s="70">
        <v>372223</v>
      </c>
      <c r="W48" s="70">
        <v>39067</v>
      </c>
      <c r="X48" s="70">
        <v>411290</v>
      </c>
      <c r="Y48" s="70">
        <v>101179</v>
      </c>
      <c r="Z48" s="70">
        <v>99655</v>
      </c>
      <c r="AA48" s="70">
        <v>200834</v>
      </c>
      <c r="AB48" s="70">
        <v>3364832.4750000006</v>
      </c>
      <c r="AC48" s="70">
        <v>41813</v>
      </c>
      <c r="AD48" s="70" t="s">
        <v>26</v>
      </c>
      <c r="AE48" s="70">
        <v>296149</v>
      </c>
      <c r="AF48" s="70">
        <v>225414</v>
      </c>
      <c r="AG48" s="70">
        <v>361</v>
      </c>
      <c r="AH48" s="70">
        <v>6342920.4750000006</v>
      </c>
      <c r="AI48" s="4">
        <v>-7.7254870321295357</v>
      </c>
      <c r="AJ48" s="72">
        <v>0.62729377893100158</v>
      </c>
      <c r="AL48" s="113"/>
      <c r="AM48" s="113"/>
    </row>
    <row r="49" spans="1:39" s="61" customFormat="1" ht="8.25" customHeight="1" x14ac:dyDescent="0.25">
      <c r="A49" s="142"/>
      <c r="B49" s="55" t="s">
        <v>96</v>
      </c>
      <c r="C49" s="2">
        <v>151116</v>
      </c>
      <c r="D49" s="3">
        <v>136060</v>
      </c>
      <c r="E49" s="3">
        <v>4339</v>
      </c>
      <c r="F49" s="3">
        <v>33</v>
      </c>
      <c r="G49" s="3">
        <v>4372</v>
      </c>
      <c r="H49" s="3">
        <v>546</v>
      </c>
      <c r="I49" s="3">
        <v>181</v>
      </c>
      <c r="J49" s="3">
        <v>182</v>
      </c>
      <c r="K49" s="3" t="s">
        <v>26</v>
      </c>
      <c r="L49" s="3" t="s">
        <v>26</v>
      </c>
      <c r="M49" s="3" t="s">
        <v>26</v>
      </c>
      <c r="N49" s="3">
        <v>3</v>
      </c>
      <c r="O49" s="3">
        <v>2</v>
      </c>
      <c r="P49" s="3">
        <v>156221</v>
      </c>
      <c r="Q49" s="4">
        <v>2.6911725071814994</v>
      </c>
      <c r="R49" s="5">
        <v>0.73888898427253036</v>
      </c>
      <c r="S49" s="62">
        <v>666489</v>
      </c>
      <c r="T49" s="58">
        <v>2575451</v>
      </c>
      <c r="U49" s="58">
        <v>3241940</v>
      </c>
      <c r="V49" s="58">
        <v>545780</v>
      </c>
      <c r="W49" s="58">
        <v>131305</v>
      </c>
      <c r="X49" s="58">
        <v>677085</v>
      </c>
      <c r="Y49" s="58">
        <v>65822</v>
      </c>
      <c r="Z49" s="58">
        <v>162983</v>
      </c>
      <c r="AA49" s="58">
        <v>228805</v>
      </c>
      <c r="AB49" s="58">
        <v>1173558.4900000002</v>
      </c>
      <c r="AC49" s="58" t="s">
        <v>26</v>
      </c>
      <c r="AD49" s="58" t="s">
        <v>26</v>
      </c>
      <c r="AE49" s="58" t="s">
        <v>26</v>
      </c>
      <c r="AF49" s="58">
        <v>206658</v>
      </c>
      <c r="AG49" s="58">
        <v>2</v>
      </c>
      <c r="AH49" s="58">
        <v>5528048.4900000002</v>
      </c>
      <c r="AI49" s="59">
        <v>-4.2354752511158642</v>
      </c>
      <c r="AJ49" s="60">
        <v>0.54670564467480842</v>
      </c>
      <c r="AL49" s="113"/>
      <c r="AM49" s="113"/>
    </row>
    <row r="50" spans="1:39" s="61" customFormat="1" ht="8.25" customHeight="1" x14ac:dyDescent="0.25">
      <c r="A50" s="142"/>
      <c r="B50" s="55" t="s">
        <v>65</v>
      </c>
      <c r="C50" s="2">
        <v>179046</v>
      </c>
      <c r="D50" s="3">
        <v>175158</v>
      </c>
      <c r="E50" s="3">
        <v>4560</v>
      </c>
      <c r="F50" s="3">
        <v>29</v>
      </c>
      <c r="G50" s="3">
        <v>4589</v>
      </c>
      <c r="H50" s="3">
        <v>1200</v>
      </c>
      <c r="I50" s="3">
        <v>204</v>
      </c>
      <c r="J50" s="3">
        <v>150</v>
      </c>
      <c r="K50" s="3" t="s">
        <v>26</v>
      </c>
      <c r="L50" s="3" t="s">
        <v>26</v>
      </c>
      <c r="M50" s="3" t="s">
        <v>26</v>
      </c>
      <c r="N50" s="3">
        <v>2</v>
      </c>
      <c r="O50" s="3">
        <v>13</v>
      </c>
      <c r="P50" s="3">
        <v>185000</v>
      </c>
      <c r="Q50" s="4">
        <v>3.8765609558889587</v>
      </c>
      <c r="R50" s="5">
        <v>0.87500695867020506</v>
      </c>
      <c r="S50" s="62">
        <v>85051</v>
      </c>
      <c r="T50" s="58">
        <v>3759596</v>
      </c>
      <c r="U50" s="58">
        <v>3844647</v>
      </c>
      <c r="V50" s="58">
        <v>547553</v>
      </c>
      <c r="W50" s="58">
        <v>69354</v>
      </c>
      <c r="X50" s="58">
        <v>616907</v>
      </c>
      <c r="Y50" s="58">
        <v>98883</v>
      </c>
      <c r="Z50" s="58">
        <v>152727</v>
      </c>
      <c r="AA50" s="58">
        <v>251610</v>
      </c>
      <c r="AB50" s="58">
        <v>6925603.3610000005</v>
      </c>
      <c r="AC50" s="58" t="s">
        <v>26</v>
      </c>
      <c r="AD50" s="58" t="s">
        <v>26</v>
      </c>
      <c r="AE50" s="58" t="s">
        <v>26</v>
      </c>
      <c r="AF50" s="58">
        <v>248317</v>
      </c>
      <c r="AG50" s="58">
        <v>53</v>
      </c>
      <c r="AH50" s="58">
        <v>11887137.361000001</v>
      </c>
      <c r="AI50" s="59">
        <v>-2.1280492529638422</v>
      </c>
      <c r="AJ50" s="60">
        <v>1.1756012239118279</v>
      </c>
      <c r="AL50" s="113"/>
      <c r="AM50" s="113"/>
    </row>
    <row r="51" spans="1:39" s="61" customFormat="1" ht="8.25" customHeight="1" x14ac:dyDescent="0.25">
      <c r="A51" s="142"/>
      <c r="B51" s="55" t="s">
        <v>66</v>
      </c>
      <c r="C51" s="2">
        <v>106264</v>
      </c>
      <c r="D51" s="3">
        <v>105748</v>
      </c>
      <c r="E51" s="3">
        <v>3117</v>
      </c>
      <c r="F51" s="3">
        <v>34</v>
      </c>
      <c r="G51" s="3">
        <v>3151</v>
      </c>
      <c r="H51" s="3">
        <v>700</v>
      </c>
      <c r="I51" s="3">
        <v>56</v>
      </c>
      <c r="J51" s="3">
        <v>123</v>
      </c>
      <c r="K51" s="3">
        <v>1</v>
      </c>
      <c r="L51" s="3" t="s">
        <v>26</v>
      </c>
      <c r="M51" s="3">
        <v>4</v>
      </c>
      <c r="N51" s="3">
        <v>2</v>
      </c>
      <c r="O51" s="3">
        <v>2</v>
      </c>
      <c r="P51" s="3">
        <v>110247</v>
      </c>
      <c r="Q51" s="4">
        <v>4.859327740683673</v>
      </c>
      <c r="R51" s="5">
        <v>0.52144266039196807</v>
      </c>
      <c r="S51" s="62">
        <v>1138.7050827999999</v>
      </c>
      <c r="T51" s="58">
        <v>2294140.7415149095</v>
      </c>
      <c r="U51" s="58">
        <v>2295279.4465977093</v>
      </c>
      <c r="V51" s="58">
        <v>325246.84489120002</v>
      </c>
      <c r="W51" s="58">
        <v>181643.62606569999</v>
      </c>
      <c r="X51" s="58">
        <v>506890.47095690004</v>
      </c>
      <c r="Y51" s="58">
        <v>80397.436727599998</v>
      </c>
      <c r="Z51" s="58">
        <v>87077.202001600017</v>
      </c>
      <c r="AA51" s="58">
        <v>167474.6387292</v>
      </c>
      <c r="AB51" s="58">
        <v>5220399.3244632995</v>
      </c>
      <c r="AC51" s="58">
        <v>9643.3445970000012</v>
      </c>
      <c r="AD51" s="58" t="s">
        <v>26</v>
      </c>
      <c r="AE51" s="58">
        <v>753962.64736000006</v>
      </c>
      <c r="AF51" s="58">
        <v>365371.29557100002</v>
      </c>
      <c r="AG51" s="58">
        <v>1607624.8332219999</v>
      </c>
      <c r="AH51" s="58">
        <v>10926646.001497108</v>
      </c>
      <c r="AI51" s="59">
        <v>-23.421635529868343</v>
      </c>
      <c r="AJ51" s="60">
        <v>1.0806090173029386</v>
      </c>
      <c r="AL51" s="113"/>
      <c r="AM51" s="113"/>
    </row>
    <row r="52" spans="1:39" s="61" customFormat="1" ht="8.25" customHeight="1" x14ac:dyDescent="0.25">
      <c r="A52" s="151"/>
      <c r="B52" s="63" t="s">
        <v>31</v>
      </c>
      <c r="C52" s="6">
        <v>526206</v>
      </c>
      <c r="D52" s="7">
        <v>494068</v>
      </c>
      <c r="E52" s="7">
        <v>15435</v>
      </c>
      <c r="F52" s="7">
        <v>124</v>
      </c>
      <c r="G52" s="7">
        <v>15559</v>
      </c>
      <c r="H52" s="7">
        <v>3114</v>
      </c>
      <c r="I52" s="7">
        <v>563</v>
      </c>
      <c r="J52" s="7">
        <v>746</v>
      </c>
      <c r="K52" s="7">
        <v>4</v>
      </c>
      <c r="L52" s="7" t="s">
        <v>26</v>
      </c>
      <c r="M52" s="7">
        <v>5</v>
      </c>
      <c r="N52" s="7">
        <v>8</v>
      </c>
      <c r="O52" s="7">
        <v>32</v>
      </c>
      <c r="P52" s="7">
        <v>545674</v>
      </c>
      <c r="Q52" s="8">
        <v>3.4845439029015739</v>
      </c>
      <c r="R52" s="9">
        <v>2.5809110657589485</v>
      </c>
      <c r="S52" s="64">
        <f t="shared" ref="S52:AH52" si="0">SUM(S48:S51)</f>
        <v>1160674.7050828</v>
      </c>
      <c r="T52" s="65">
        <f t="shared" si="0"/>
        <v>10023418.74151491</v>
      </c>
      <c r="U52" s="65">
        <f t="shared" si="0"/>
        <v>11184093.44659771</v>
      </c>
      <c r="V52" s="65">
        <f t="shared" si="0"/>
        <v>1790802.8448912001</v>
      </c>
      <c r="W52" s="65">
        <f t="shared" si="0"/>
        <v>421369.62606569997</v>
      </c>
      <c r="X52" s="65">
        <f t="shared" si="0"/>
        <v>2212172.4709569002</v>
      </c>
      <c r="Y52" s="65">
        <f t="shared" si="0"/>
        <v>346281.4367276</v>
      </c>
      <c r="Z52" s="65">
        <f t="shared" si="0"/>
        <v>502442.2020016</v>
      </c>
      <c r="AA52" s="65">
        <f t="shared" si="0"/>
        <v>848723.6387292</v>
      </c>
      <c r="AB52" s="65">
        <f t="shared" si="0"/>
        <v>16684393.650463302</v>
      </c>
      <c r="AC52" s="65">
        <f t="shared" si="0"/>
        <v>51456.344597000003</v>
      </c>
      <c r="AD52" s="65">
        <f t="shared" si="0"/>
        <v>0</v>
      </c>
      <c r="AE52" s="65">
        <f t="shared" si="0"/>
        <v>1050111.6473600001</v>
      </c>
      <c r="AF52" s="65">
        <f t="shared" si="0"/>
        <v>1045760.2955710001</v>
      </c>
      <c r="AG52" s="65">
        <f t="shared" si="0"/>
        <v>1608040.8332219999</v>
      </c>
      <c r="AH52" s="65">
        <f t="shared" si="0"/>
        <v>34684752.32749711</v>
      </c>
      <c r="AI52" s="8">
        <v>-11.191394717160307</v>
      </c>
      <c r="AJ52" s="67">
        <v>3.430445008412498</v>
      </c>
      <c r="AL52" s="113"/>
      <c r="AM52" s="113"/>
    </row>
    <row r="53" spans="1:39" s="61" customFormat="1" ht="8.25" customHeight="1" x14ac:dyDescent="0.25">
      <c r="A53" s="150" t="s">
        <v>67</v>
      </c>
      <c r="B53" s="68" t="s">
        <v>40</v>
      </c>
      <c r="C53" s="24">
        <v>136625</v>
      </c>
      <c r="D53" s="11">
        <v>135959</v>
      </c>
      <c r="E53" s="11">
        <v>1984</v>
      </c>
      <c r="F53" s="11">
        <v>90</v>
      </c>
      <c r="G53" s="11">
        <v>2074</v>
      </c>
      <c r="H53" s="11">
        <v>744</v>
      </c>
      <c r="I53" s="11">
        <v>180</v>
      </c>
      <c r="J53" s="11">
        <v>120</v>
      </c>
      <c r="K53" s="11" t="s">
        <v>26</v>
      </c>
      <c r="L53" s="11" t="s">
        <v>26</v>
      </c>
      <c r="M53" s="11" t="s">
        <v>26</v>
      </c>
      <c r="N53" s="11">
        <v>3</v>
      </c>
      <c r="O53" s="11">
        <v>6</v>
      </c>
      <c r="P53" s="11">
        <v>139572</v>
      </c>
      <c r="Q53" s="4">
        <v>1.3970315803238673</v>
      </c>
      <c r="R53" s="13">
        <v>0.6601430877595561</v>
      </c>
      <c r="S53" s="69">
        <v>1795.4962272999999</v>
      </c>
      <c r="T53" s="70">
        <v>3144599.4089970002</v>
      </c>
      <c r="U53" s="70">
        <v>3146394.9052243</v>
      </c>
      <c r="V53" s="70">
        <v>252738.97581939999</v>
      </c>
      <c r="W53" s="70">
        <v>84188.068417100003</v>
      </c>
      <c r="X53" s="70">
        <v>336927.04423649999</v>
      </c>
      <c r="Y53" s="70">
        <v>54134.900980999999</v>
      </c>
      <c r="Z53" s="70">
        <v>152234.32763069996</v>
      </c>
      <c r="AA53" s="70">
        <v>206369.22861169995</v>
      </c>
      <c r="AB53" s="70">
        <v>1728071.9048718002</v>
      </c>
      <c r="AC53" s="70" t="s">
        <v>26</v>
      </c>
      <c r="AD53" s="70" t="s">
        <v>26</v>
      </c>
      <c r="AE53" s="70" t="s">
        <v>26</v>
      </c>
      <c r="AF53" s="70">
        <v>803154.92471599998</v>
      </c>
      <c r="AG53" s="70">
        <v>1.0091055</v>
      </c>
      <c r="AH53" s="70">
        <v>6220919.0167657994</v>
      </c>
      <c r="AI53" s="4">
        <v>-5.6642718487250887</v>
      </c>
      <c r="AJ53" s="72">
        <v>0.61522823970936646</v>
      </c>
      <c r="AL53" s="113"/>
      <c r="AM53" s="113"/>
    </row>
    <row r="54" spans="1:39" s="61" customFormat="1" ht="8.25" customHeight="1" x14ac:dyDescent="0.25">
      <c r="A54" s="142"/>
      <c r="B54" s="86" t="s">
        <v>68</v>
      </c>
      <c r="C54" s="25">
        <v>303277</v>
      </c>
      <c r="D54" s="3">
        <v>300945</v>
      </c>
      <c r="E54" s="3">
        <v>7137</v>
      </c>
      <c r="F54" s="3">
        <v>72</v>
      </c>
      <c r="G54" s="3">
        <v>7209</v>
      </c>
      <c r="H54" s="3">
        <v>2084</v>
      </c>
      <c r="I54" s="3">
        <v>241</v>
      </c>
      <c r="J54" s="3">
        <v>261</v>
      </c>
      <c r="K54" s="3">
        <v>1</v>
      </c>
      <c r="L54" s="3">
        <v>3</v>
      </c>
      <c r="M54" s="3">
        <v>2</v>
      </c>
      <c r="N54" s="3">
        <v>79</v>
      </c>
      <c r="O54" s="3">
        <v>17</v>
      </c>
      <c r="P54" s="3">
        <v>312933</v>
      </c>
      <c r="Q54" s="4">
        <v>1.6227397900862517</v>
      </c>
      <c r="R54" s="5">
        <v>1.4801002843110449</v>
      </c>
      <c r="S54" s="62">
        <v>2021548.4310350004</v>
      </c>
      <c r="T54" s="58">
        <v>5230484.1876659999</v>
      </c>
      <c r="U54" s="58">
        <v>7252032.6187009998</v>
      </c>
      <c r="V54" s="58">
        <v>687423.39321600005</v>
      </c>
      <c r="W54" s="58">
        <v>318641.71176299994</v>
      </c>
      <c r="X54" s="58">
        <v>1006065.1049790001</v>
      </c>
      <c r="Y54" s="58">
        <v>320146.03704900004</v>
      </c>
      <c r="Z54" s="58">
        <v>207334.38522799997</v>
      </c>
      <c r="AA54" s="58">
        <v>527480.42227700003</v>
      </c>
      <c r="AB54" s="58">
        <v>13258835.479405001</v>
      </c>
      <c r="AC54" s="58">
        <v>2837.8324309999998</v>
      </c>
      <c r="AD54" s="58">
        <v>584025.91000200005</v>
      </c>
      <c r="AE54" s="58">
        <v>208178.44890700004</v>
      </c>
      <c r="AF54" s="58">
        <v>271086.352075</v>
      </c>
      <c r="AG54" s="58">
        <v>585374.54702699999</v>
      </c>
      <c r="AH54" s="58">
        <v>23695916.715803999</v>
      </c>
      <c r="AI54" s="59">
        <v>-5.378786188098525</v>
      </c>
      <c r="AJ54" s="60">
        <v>2.343447501900294</v>
      </c>
      <c r="AL54" s="113"/>
      <c r="AM54" s="113"/>
    </row>
    <row r="55" spans="1:39" s="61" customFormat="1" ht="8.25" customHeight="1" x14ac:dyDescent="0.25">
      <c r="A55" s="142"/>
      <c r="B55" s="86" t="s">
        <v>69</v>
      </c>
      <c r="C55" s="25">
        <v>219818</v>
      </c>
      <c r="D55" s="3">
        <v>206881</v>
      </c>
      <c r="E55" s="3">
        <v>5531</v>
      </c>
      <c r="F55" s="3">
        <v>72</v>
      </c>
      <c r="G55" s="3">
        <v>5603</v>
      </c>
      <c r="H55" s="3">
        <v>1392</v>
      </c>
      <c r="I55" s="3">
        <v>182</v>
      </c>
      <c r="J55" s="3">
        <v>241</v>
      </c>
      <c r="K55" s="3">
        <v>3</v>
      </c>
      <c r="L55" s="3" t="s">
        <v>26</v>
      </c>
      <c r="M55" s="3">
        <v>2</v>
      </c>
      <c r="N55" s="3">
        <v>1</v>
      </c>
      <c r="O55" s="3">
        <v>12</v>
      </c>
      <c r="P55" s="3">
        <v>227072</v>
      </c>
      <c r="Q55" s="4">
        <v>3.674483161662649</v>
      </c>
      <c r="R55" s="5">
        <v>1.0739977303738424</v>
      </c>
      <c r="S55" s="62">
        <v>1046799</v>
      </c>
      <c r="T55" s="58">
        <v>4069700</v>
      </c>
      <c r="U55" s="58">
        <v>5116499</v>
      </c>
      <c r="V55" s="58">
        <v>688261</v>
      </c>
      <c r="W55" s="58">
        <v>173212</v>
      </c>
      <c r="X55" s="58">
        <v>861473</v>
      </c>
      <c r="Y55" s="58">
        <v>116835</v>
      </c>
      <c r="Z55" s="58">
        <v>207493</v>
      </c>
      <c r="AA55" s="58">
        <v>324328</v>
      </c>
      <c r="AB55" s="58">
        <v>11102478.615000002</v>
      </c>
      <c r="AC55" s="58">
        <v>54022</v>
      </c>
      <c r="AD55" s="58" t="s">
        <v>26</v>
      </c>
      <c r="AE55" s="58">
        <v>108089</v>
      </c>
      <c r="AF55" s="58">
        <v>151569</v>
      </c>
      <c r="AG55" s="58">
        <v>290036</v>
      </c>
      <c r="AH55" s="58">
        <v>18008494.615000002</v>
      </c>
      <c r="AI55" s="59">
        <v>-2.1019495634627527</v>
      </c>
      <c r="AJ55" s="60">
        <v>1.7809803361758123</v>
      </c>
      <c r="AL55" s="113"/>
      <c r="AM55" s="113"/>
    </row>
    <row r="56" spans="1:39" s="61" customFormat="1" ht="8.25" customHeight="1" x14ac:dyDescent="0.25">
      <c r="A56" s="142"/>
      <c r="B56" s="55" t="s">
        <v>70</v>
      </c>
      <c r="C56" s="25">
        <v>100280</v>
      </c>
      <c r="D56" s="3">
        <v>95021</v>
      </c>
      <c r="E56" s="3">
        <v>2439</v>
      </c>
      <c r="F56" s="3" t="s">
        <v>26</v>
      </c>
      <c r="G56" s="3">
        <v>2439</v>
      </c>
      <c r="H56" s="3">
        <v>1059</v>
      </c>
      <c r="I56" s="3">
        <v>122</v>
      </c>
      <c r="J56" s="3">
        <v>118</v>
      </c>
      <c r="K56" s="3" t="s">
        <v>26</v>
      </c>
      <c r="L56" s="3" t="s">
        <v>26</v>
      </c>
      <c r="M56" s="3" t="s">
        <v>26</v>
      </c>
      <c r="N56" s="3" t="s">
        <v>26</v>
      </c>
      <c r="O56" s="3">
        <v>4</v>
      </c>
      <c r="P56" s="3">
        <v>103900</v>
      </c>
      <c r="Q56" s="4">
        <v>2.0598607113739278</v>
      </c>
      <c r="R56" s="5">
        <v>0.49142282705856388</v>
      </c>
      <c r="S56" s="62">
        <v>12826</v>
      </c>
      <c r="T56" s="58">
        <v>2660008</v>
      </c>
      <c r="U56" s="58">
        <v>2672834</v>
      </c>
      <c r="V56" s="58">
        <v>341334</v>
      </c>
      <c r="W56" s="58" t="s">
        <v>26</v>
      </c>
      <c r="X56" s="58">
        <v>341334</v>
      </c>
      <c r="Y56" s="58">
        <v>51265</v>
      </c>
      <c r="Z56" s="58">
        <v>103190</v>
      </c>
      <c r="AA56" s="58">
        <v>154455</v>
      </c>
      <c r="AB56" s="58">
        <v>4296357.5160000008</v>
      </c>
      <c r="AC56" s="58" t="s">
        <v>26</v>
      </c>
      <c r="AD56" s="58" t="s">
        <v>26</v>
      </c>
      <c r="AE56" s="58" t="s">
        <v>26</v>
      </c>
      <c r="AF56" s="58" t="s">
        <v>26</v>
      </c>
      <c r="AG56" s="58">
        <v>60</v>
      </c>
      <c r="AH56" s="58">
        <v>7465040.5160000008</v>
      </c>
      <c r="AI56" s="59">
        <v>0.33303144596407158</v>
      </c>
      <c r="AJ56" s="60">
        <v>0.73826772598070034</v>
      </c>
      <c r="AL56" s="113"/>
      <c r="AM56" s="113"/>
    </row>
    <row r="57" spans="1:39" s="61" customFormat="1" ht="8.25" customHeight="1" x14ac:dyDescent="0.25">
      <c r="A57" s="142"/>
      <c r="B57" s="55" t="s">
        <v>71</v>
      </c>
      <c r="C57" s="25">
        <v>129346</v>
      </c>
      <c r="D57" s="3">
        <v>127883</v>
      </c>
      <c r="E57" s="3">
        <v>5124</v>
      </c>
      <c r="F57" s="3" t="s">
        <v>26</v>
      </c>
      <c r="G57" s="3">
        <v>5124</v>
      </c>
      <c r="H57" s="3">
        <v>1019</v>
      </c>
      <c r="I57" s="3">
        <v>113</v>
      </c>
      <c r="J57" s="3">
        <v>313</v>
      </c>
      <c r="K57" s="3" t="s">
        <v>26</v>
      </c>
      <c r="L57" s="3" t="s">
        <v>26</v>
      </c>
      <c r="M57" s="3" t="s">
        <v>26</v>
      </c>
      <c r="N57" s="3">
        <v>1</v>
      </c>
      <c r="O57" s="3">
        <v>3</v>
      </c>
      <c r="P57" s="3">
        <v>135806</v>
      </c>
      <c r="Q57" s="4">
        <v>2.0154293397835086</v>
      </c>
      <c r="R57" s="5">
        <v>0.64233078394143717</v>
      </c>
      <c r="S57" s="62">
        <v>640927</v>
      </c>
      <c r="T57" s="58">
        <v>2266624</v>
      </c>
      <c r="U57" s="58">
        <v>2907551</v>
      </c>
      <c r="V57" s="58">
        <v>873958</v>
      </c>
      <c r="W57" s="58" t="s">
        <v>26</v>
      </c>
      <c r="X57" s="58">
        <v>873958</v>
      </c>
      <c r="Y57" s="58">
        <v>122709</v>
      </c>
      <c r="Z57" s="58">
        <v>105783</v>
      </c>
      <c r="AA57" s="58">
        <v>228492</v>
      </c>
      <c r="AB57" s="58">
        <v>4352287.5589999994</v>
      </c>
      <c r="AC57" s="58" t="s">
        <v>26</v>
      </c>
      <c r="AD57" s="58" t="s">
        <v>26</v>
      </c>
      <c r="AE57" s="58" t="s">
        <v>26</v>
      </c>
      <c r="AF57" s="58">
        <v>185574</v>
      </c>
      <c r="AG57" s="58" t="s">
        <v>26</v>
      </c>
      <c r="AH57" s="58">
        <v>8547862.5590000004</v>
      </c>
      <c r="AI57" s="59">
        <v>-5.5112074309265475</v>
      </c>
      <c r="AJ57" s="60">
        <v>0.84535523148237657</v>
      </c>
      <c r="AL57" s="113"/>
      <c r="AM57" s="113"/>
    </row>
    <row r="58" spans="1:39" s="61" customFormat="1" ht="8.25" customHeight="1" x14ac:dyDescent="0.25">
      <c r="A58" s="151"/>
      <c r="B58" s="63" t="s">
        <v>31</v>
      </c>
      <c r="C58" s="18">
        <v>889346</v>
      </c>
      <c r="D58" s="7">
        <v>866689</v>
      </c>
      <c r="E58" s="7">
        <v>22215</v>
      </c>
      <c r="F58" s="7">
        <v>234</v>
      </c>
      <c r="G58" s="7">
        <v>22449</v>
      </c>
      <c r="H58" s="7">
        <v>6298</v>
      </c>
      <c r="I58" s="7">
        <v>838</v>
      </c>
      <c r="J58" s="7">
        <v>1053</v>
      </c>
      <c r="K58" s="7">
        <v>4</v>
      </c>
      <c r="L58" s="7">
        <v>3</v>
      </c>
      <c r="M58" s="7">
        <v>4</v>
      </c>
      <c r="N58" s="7">
        <v>84</v>
      </c>
      <c r="O58" s="7">
        <v>42</v>
      </c>
      <c r="P58" s="7">
        <v>919283</v>
      </c>
      <c r="Q58" s="8">
        <v>2.195356489741922</v>
      </c>
      <c r="R58" s="9">
        <v>4.3479947134444439</v>
      </c>
      <c r="S58" s="64">
        <v>3723895.9272623006</v>
      </c>
      <c r="T58" s="65">
        <v>17371415.596662998</v>
      </c>
      <c r="U58" s="65">
        <v>21095311.523925301</v>
      </c>
      <c r="V58" s="65">
        <v>2843715.3690354</v>
      </c>
      <c r="W58" s="65">
        <v>576041.78018009989</v>
      </c>
      <c r="X58" s="65">
        <v>3419757.1492154999</v>
      </c>
      <c r="Y58" s="65">
        <v>665089.93803000008</v>
      </c>
      <c r="Z58" s="65">
        <v>776034.71285869996</v>
      </c>
      <c r="AA58" s="65">
        <v>1441124.6508887</v>
      </c>
      <c r="AB58" s="65">
        <v>34738031.074276805</v>
      </c>
      <c r="AC58" s="65">
        <v>56859.832431000003</v>
      </c>
      <c r="AD58" s="65">
        <v>584025.91000200005</v>
      </c>
      <c r="AE58" s="65">
        <v>316267.44890700001</v>
      </c>
      <c r="AF58" s="65">
        <v>1411384.276791</v>
      </c>
      <c r="AG58" s="65">
        <v>875471.55613249994</v>
      </c>
      <c r="AH58" s="65">
        <v>63938233.422569804</v>
      </c>
      <c r="AI58" s="8">
        <v>-3.8808227507755881</v>
      </c>
      <c r="AJ58" s="67">
        <v>6.3232790352485493</v>
      </c>
      <c r="AL58" s="113"/>
      <c r="AM58" s="113"/>
    </row>
    <row r="59" spans="1:39" s="61" customFormat="1" ht="8.25" customHeight="1" x14ac:dyDescent="0.25">
      <c r="A59" s="150" t="s">
        <v>72</v>
      </c>
      <c r="B59" s="55" t="s">
        <v>73</v>
      </c>
      <c r="C59" s="25">
        <v>843770</v>
      </c>
      <c r="D59" s="3">
        <v>782271</v>
      </c>
      <c r="E59" s="3">
        <v>51411</v>
      </c>
      <c r="F59" s="3">
        <v>391</v>
      </c>
      <c r="G59" s="3">
        <v>51802</v>
      </c>
      <c r="H59" s="3">
        <v>2440</v>
      </c>
      <c r="I59" s="3">
        <v>571</v>
      </c>
      <c r="J59" s="3">
        <v>813</v>
      </c>
      <c r="K59" s="3">
        <v>13</v>
      </c>
      <c r="L59" s="3" t="s">
        <v>26</v>
      </c>
      <c r="M59" s="3">
        <v>1</v>
      </c>
      <c r="N59" s="3">
        <v>11</v>
      </c>
      <c r="O59" s="3">
        <v>38</v>
      </c>
      <c r="P59" s="3">
        <v>898888</v>
      </c>
      <c r="Q59" s="4">
        <v>1.6988885268455161</v>
      </c>
      <c r="R59" s="5">
        <v>4.2515311084602336</v>
      </c>
      <c r="S59" s="62">
        <v>82504.850000000006</v>
      </c>
      <c r="T59" s="58">
        <v>16858353.783</v>
      </c>
      <c r="U59" s="58">
        <v>16940858.633000001</v>
      </c>
      <c r="V59" s="58">
        <v>2113652.1595109999</v>
      </c>
      <c r="W59" s="58">
        <v>525722.880794</v>
      </c>
      <c r="X59" s="58">
        <v>2639375.0403049998</v>
      </c>
      <c r="Y59" s="58">
        <v>835320.50199999998</v>
      </c>
      <c r="Z59" s="58">
        <v>644207.12800000003</v>
      </c>
      <c r="AA59" s="58">
        <v>1479527.63</v>
      </c>
      <c r="AB59" s="58">
        <v>14951068.414007002</v>
      </c>
      <c r="AC59" s="58">
        <v>12845.016</v>
      </c>
      <c r="AD59" s="58" t="s">
        <v>26</v>
      </c>
      <c r="AE59" s="58">
        <v>592547.39300000004</v>
      </c>
      <c r="AF59" s="58">
        <v>1406655.709</v>
      </c>
      <c r="AG59" s="58">
        <v>229391.13600000003</v>
      </c>
      <c r="AH59" s="58">
        <v>38252268.971312001</v>
      </c>
      <c r="AI59" s="59">
        <v>-3.6643355040048302</v>
      </c>
      <c r="AJ59" s="60">
        <v>3.7830224185018495</v>
      </c>
      <c r="AL59" s="113"/>
      <c r="AM59" s="113"/>
    </row>
    <row r="60" spans="1:39" s="61" customFormat="1" ht="8.25" customHeight="1" x14ac:dyDescent="0.25">
      <c r="A60" s="142"/>
      <c r="B60" s="55" t="s">
        <v>46</v>
      </c>
      <c r="C60" s="25">
        <v>134284</v>
      </c>
      <c r="D60" s="3">
        <v>93741</v>
      </c>
      <c r="E60" s="3">
        <v>4603</v>
      </c>
      <c r="F60" s="3">
        <v>49</v>
      </c>
      <c r="G60" s="3">
        <v>4652</v>
      </c>
      <c r="H60" s="3">
        <v>331</v>
      </c>
      <c r="I60" s="3">
        <v>71</v>
      </c>
      <c r="J60" s="3">
        <v>252</v>
      </c>
      <c r="K60" s="3" t="s">
        <v>26</v>
      </c>
      <c r="L60" s="3" t="s">
        <v>26</v>
      </c>
      <c r="M60" s="3">
        <v>1</v>
      </c>
      <c r="N60" s="3">
        <v>2</v>
      </c>
      <c r="O60" s="3">
        <v>9</v>
      </c>
      <c r="P60" s="3">
        <v>139531</v>
      </c>
      <c r="Q60" s="4">
        <v>0.66663299833341749</v>
      </c>
      <c r="R60" s="5">
        <v>0.65994916729844533</v>
      </c>
      <c r="S60" s="62">
        <v>79141.993393500001</v>
      </c>
      <c r="T60" s="58">
        <v>2188354.5070999996</v>
      </c>
      <c r="U60" s="58">
        <v>2267496.5004934995</v>
      </c>
      <c r="V60" s="58">
        <v>616738.41758999997</v>
      </c>
      <c r="W60" s="58">
        <v>103341.52417999999</v>
      </c>
      <c r="X60" s="58">
        <v>720079.94176999992</v>
      </c>
      <c r="Y60" s="58">
        <v>31807.182690000005</v>
      </c>
      <c r="Z60" s="58">
        <v>87505.809309999997</v>
      </c>
      <c r="AA60" s="58">
        <v>119312.992</v>
      </c>
      <c r="AB60" s="58">
        <v>3491243.1847835607</v>
      </c>
      <c r="AC60" s="58" t="s">
        <v>26</v>
      </c>
      <c r="AD60" s="58" t="s">
        <v>26</v>
      </c>
      <c r="AE60" s="58">
        <v>696345.06114999996</v>
      </c>
      <c r="AF60" s="58">
        <v>201353.11132</v>
      </c>
      <c r="AG60" s="58">
        <v>717.96759000000009</v>
      </c>
      <c r="AH60" s="58">
        <v>7496548.7591070598</v>
      </c>
      <c r="AI60" s="4">
        <v>-16.011999071956705</v>
      </c>
      <c r="AJ60" s="60">
        <v>0.74138378662878912</v>
      </c>
      <c r="AL60" s="113"/>
      <c r="AM60" s="113"/>
    </row>
    <row r="61" spans="1:39" s="61" customFormat="1" ht="8.25" customHeight="1" x14ac:dyDescent="0.25">
      <c r="A61" s="142"/>
      <c r="B61" s="85" t="s">
        <v>74</v>
      </c>
      <c r="C61" s="25">
        <v>203933</v>
      </c>
      <c r="D61" s="3">
        <v>188322</v>
      </c>
      <c r="E61" s="3">
        <v>5887</v>
      </c>
      <c r="F61" s="3">
        <v>81</v>
      </c>
      <c r="G61" s="3">
        <v>5968</v>
      </c>
      <c r="H61" s="3">
        <v>841</v>
      </c>
      <c r="I61" s="3">
        <v>219</v>
      </c>
      <c r="J61" s="3">
        <v>70</v>
      </c>
      <c r="K61" s="3">
        <v>1</v>
      </c>
      <c r="L61" s="3">
        <v>1</v>
      </c>
      <c r="M61" s="3">
        <v>1</v>
      </c>
      <c r="N61" s="3">
        <v>1</v>
      </c>
      <c r="O61" s="3">
        <v>10</v>
      </c>
      <c r="P61" s="3">
        <v>210826</v>
      </c>
      <c r="Q61" s="4">
        <v>2.5707641260666918</v>
      </c>
      <c r="R61" s="5">
        <v>0.99715793010056575</v>
      </c>
      <c r="S61" s="62">
        <v>19362</v>
      </c>
      <c r="T61" s="58">
        <v>4124773</v>
      </c>
      <c r="U61" s="58">
        <v>4144135</v>
      </c>
      <c r="V61" s="58">
        <v>457982</v>
      </c>
      <c r="W61" s="58">
        <v>113908</v>
      </c>
      <c r="X61" s="58">
        <v>571890</v>
      </c>
      <c r="Y61" s="58">
        <v>44424</v>
      </c>
      <c r="Z61" s="58">
        <v>211524</v>
      </c>
      <c r="AA61" s="58">
        <v>255948</v>
      </c>
      <c r="AB61" s="58">
        <v>1504131.0530000001</v>
      </c>
      <c r="AC61" s="58">
        <v>9780</v>
      </c>
      <c r="AD61" s="58">
        <v>741248</v>
      </c>
      <c r="AE61" s="58">
        <v>21257</v>
      </c>
      <c r="AF61" s="58">
        <v>206287</v>
      </c>
      <c r="AG61" s="58">
        <v>29331</v>
      </c>
      <c r="AH61" s="58">
        <v>7484007.0530000003</v>
      </c>
      <c r="AI61" s="59">
        <v>-7.4005682569749043</v>
      </c>
      <c r="AJ61" s="60">
        <v>0.74014345352842192</v>
      </c>
      <c r="AL61" s="113"/>
      <c r="AM61" s="113"/>
    </row>
    <row r="62" spans="1:39" s="61" customFormat="1" ht="8.25" customHeight="1" x14ac:dyDescent="0.25">
      <c r="A62" s="142"/>
      <c r="B62" s="55" t="s">
        <v>31</v>
      </c>
      <c r="C62" s="25">
        <v>1181987</v>
      </c>
      <c r="D62" s="3">
        <v>1064334</v>
      </c>
      <c r="E62" s="3">
        <v>61901</v>
      </c>
      <c r="F62" s="3">
        <v>521</v>
      </c>
      <c r="G62" s="3">
        <v>62422</v>
      </c>
      <c r="H62" s="3">
        <v>3612</v>
      </c>
      <c r="I62" s="3">
        <v>861</v>
      </c>
      <c r="J62" s="3">
        <v>1135</v>
      </c>
      <c r="K62" s="3">
        <v>14</v>
      </c>
      <c r="L62" s="3">
        <v>1</v>
      </c>
      <c r="M62" s="3">
        <v>3</v>
      </c>
      <c r="N62" s="3">
        <v>14</v>
      </c>
      <c r="O62" s="3">
        <v>57</v>
      </c>
      <c r="P62" s="3">
        <v>1249245</v>
      </c>
      <c r="Q62" s="4">
        <v>1.728309206438652</v>
      </c>
      <c r="R62" s="5">
        <v>5.908638205859245</v>
      </c>
      <c r="S62" s="62">
        <v>181008.84339350002</v>
      </c>
      <c r="T62" s="58">
        <v>23171481.290100001</v>
      </c>
      <c r="U62" s="58">
        <v>23352490.133493502</v>
      </c>
      <c r="V62" s="58">
        <v>3188372.5771009997</v>
      </c>
      <c r="W62" s="58">
        <v>742972.40497399995</v>
      </c>
      <c r="X62" s="58">
        <v>3931344.9820749997</v>
      </c>
      <c r="Y62" s="58">
        <v>911551.68469000002</v>
      </c>
      <c r="Z62" s="58">
        <v>943236.93731000007</v>
      </c>
      <c r="AA62" s="58">
        <v>1854788.622</v>
      </c>
      <c r="AB62" s="58">
        <v>19946442.651790563</v>
      </c>
      <c r="AC62" s="58">
        <v>22625.016</v>
      </c>
      <c r="AD62" s="58">
        <v>741248</v>
      </c>
      <c r="AE62" s="58">
        <v>1310149.4541500001</v>
      </c>
      <c r="AF62" s="58">
        <v>1814295.8203199999</v>
      </c>
      <c r="AG62" s="58">
        <v>259440.10359000001</v>
      </c>
      <c r="AH62" s="58">
        <v>53232824.783419065</v>
      </c>
      <c r="AI62" s="4">
        <v>-6.1410544213947258</v>
      </c>
      <c r="AJ62" s="60">
        <v>5.2645496586590612</v>
      </c>
      <c r="AL62" s="113"/>
      <c r="AM62" s="113"/>
    </row>
    <row r="63" spans="1:39" s="61" customFormat="1" ht="8.25" customHeight="1" x14ac:dyDescent="0.25">
      <c r="A63" s="54" t="s">
        <v>75</v>
      </c>
      <c r="B63" s="87" t="s">
        <v>76</v>
      </c>
      <c r="C63" s="26">
        <v>48814</v>
      </c>
      <c r="D63" s="27">
        <v>48814</v>
      </c>
      <c r="E63" s="27">
        <v>629</v>
      </c>
      <c r="F63" s="27" t="s">
        <v>26</v>
      </c>
      <c r="G63" s="27">
        <v>629</v>
      </c>
      <c r="H63" s="27">
        <v>259</v>
      </c>
      <c r="I63" s="27">
        <v>47</v>
      </c>
      <c r="J63" s="27" t="s">
        <v>26</v>
      </c>
      <c r="K63" s="27" t="s">
        <v>26</v>
      </c>
      <c r="L63" s="27" t="s">
        <v>26</v>
      </c>
      <c r="M63" s="27" t="s">
        <v>26</v>
      </c>
      <c r="N63" s="27" t="s">
        <v>26</v>
      </c>
      <c r="O63" s="27">
        <v>2</v>
      </c>
      <c r="P63" s="27">
        <v>49704</v>
      </c>
      <c r="Q63" s="28">
        <v>8.2592786199686348</v>
      </c>
      <c r="R63" s="29">
        <v>0.23508835607429118</v>
      </c>
      <c r="S63" s="88" t="s">
        <v>26</v>
      </c>
      <c r="T63" s="89">
        <v>890821.75</v>
      </c>
      <c r="U63" s="89">
        <v>890821.75</v>
      </c>
      <c r="V63" s="89">
        <v>337224.35000000003</v>
      </c>
      <c r="W63" s="89" t="s">
        <v>26</v>
      </c>
      <c r="X63" s="89">
        <v>337224.35000000003</v>
      </c>
      <c r="Y63" s="89">
        <v>173364.04999999996</v>
      </c>
      <c r="Z63" s="89">
        <v>87286.29</v>
      </c>
      <c r="AA63" s="89">
        <v>260650.33999999997</v>
      </c>
      <c r="AB63" s="89" t="s">
        <v>26</v>
      </c>
      <c r="AC63" s="89" t="s">
        <v>26</v>
      </c>
      <c r="AD63" s="89" t="s">
        <v>26</v>
      </c>
      <c r="AE63" s="89" t="s">
        <v>26</v>
      </c>
      <c r="AF63" s="89" t="s">
        <v>26</v>
      </c>
      <c r="AG63" s="89">
        <v>131.94999999999999</v>
      </c>
      <c r="AH63" s="89">
        <v>1488828.39</v>
      </c>
      <c r="AI63" s="90">
        <v>0.88916572698932284</v>
      </c>
      <c r="AJ63" s="91">
        <v>0.14724018543569378</v>
      </c>
      <c r="AL63" s="113"/>
      <c r="AM63" s="113"/>
    </row>
    <row r="64" spans="1:39" s="61" customFormat="1" ht="8.25" customHeight="1" x14ac:dyDescent="0.25">
      <c r="A64" s="144" t="s">
        <v>77</v>
      </c>
      <c r="B64" s="145"/>
      <c r="C64" s="14">
        <v>9502094</v>
      </c>
      <c r="D64" s="15">
        <v>8695657</v>
      </c>
      <c r="E64" s="15">
        <v>298358</v>
      </c>
      <c r="F64" s="15">
        <v>7774</v>
      </c>
      <c r="G64" s="15">
        <v>306132</v>
      </c>
      <c r="H64" s="15">
        <v>62206</v>
      </c>
      <c r="I64" s="15">
        <v>10331</v>
      </c>
      <c r="J64" s="15">
        <v>8491</v>
      </c>
      <c r="K64" s="15">
        <v>72</v>
      </c>
      <c r="L64" s="15">
        <v>11</v>
      </c>
      <c r="M64" s="15">
        <v>64</v>
      </c>
      <c r="N64" s="15">
        <v>168</v>
      </c>
      <c r="O64" s="15">
        <v>526</v>
      </c>
      <c r="P64" s="15">
        <v>9879764</v>
      </c>
      <c r="Q64" s="16">
        <v>1.6474377289115369</v>
      </c>
      <c r="R64" s="17">
        <v>46.728985135239895</v>
      </c>
      <c r="S64" s="73">
        <f t="shared" ref="S64:AH64" si="1">SUM(S63,S62,S58,S52,S47,S43,S39,S36,S30,S23:S27)</f>
        <v>23734031.047457267</v>
      </c>
      <c r="T64" s="74">
        <f t="shared" si="1"/>
        <v>181952283.69581264</v>
      </c>
      <c r="U64" s="74">
        <f t="shared" si="1"/>
        <v>205686314.74326992</v>
      </c>
      <c r="V64" s="74">
        <f t="shared" si="1"/>
        <v>30797199.509136021</v>
      </c>
      <c r="W64" s="74">
        <f t="shared" si="1"/>
        <v>6777750.4148578495</v>
      </c>
      <c r="X64" s="74">
        <f t="shared" si="1"/>
        <v>37574949.923993871</v>
      </c>
      <c r="Y64" s="74">
        <f t="shared" si="1"/>
        <v>7894308.1695492109</v>
      </c>
      <c r="Z64" s="74">
        <f t="shared" si="1"/>
        <v>11048548.939408058</v>
      </c>
      <c r="AA64" s="74">
        <f t="shared" si="1"/>
        <v>18942857.108957276</v>
      </c>
      <c r="AB64" s="74">
        <f t="shared" si="1"/>
        <v>243865490.93550491</v>
      </c>
      <c r="AC64" s="74">
        <f t="shared" si="1"/>
        <v>994745.13270606997</v>
      </c>
      <c r="AD64" s="74">
        <f t="shared" si="1"/>
        <v>3566116.4129942404</v>
      </c>
      <c r="AE64" s="74">
        <f t="shared" si="1"/>
        <v>4503333.3335509105</v>
      </c>
      <c r="AF64" s="74">
        <f t="shared" si="1"/>
        <v>17407480.595630586</v>
      </c>
      <c r="AG64" s="74">
        <f t="shared" si="1"/>
        <v>15259379.98843359</v>
      </c>
      <c r="AH64" s="74">
        <f t="shared" si="1"/>
        <v>547800668.17504144</v>
      </c>
      <c r="AI64" s="75">
        <v>-7.5406621200620565</v>
      </c>
      <c r="AJ64" s="76">
        <v>54.175905739046634</v>
      </c>
      <c r="AK64" s="114"/>
      <c r="AL64" s="113"/>
      <c r="AM64" s="113"/>
    </row>
    <row r="65" spans="1:39" s="61" customFormat="1" ht="8.25" customHeight="1" x14ac:dyDescent="0.25">
      <c r="A65" s="144" t="s">
        <v>78</v>
      </c>
      <c r="B65" s="145"/>
      <c r="C65" s="14">
        <v>20241767</v>
      </c>
      <c r="D65" s="15">
        <v>16880752</v>
      </c>
      <c r="E65" s="15">
        <v>675901</v>
      </c>
      <c r="F65" s="15">
        <v>11058</v>
      </c>
      <c r="G65" s="15">
        <v>686959</v>
      </c>
      <c r="H65" s="15">
        <v>193992</v>
      </c>
      <c r="I65" s="15">
        <v>21640</v>
      </c>
      <c r="J65" s="15">
        <v>16678</v>
      </c>
      <c r="K65" s="15">
        <v>196</v>
      </c>
      <c r="L65" s="15">
        <v>18</v>
      </c>
      <c r="M65" s="15">
        <v>166</v>
      </c>
      <c r="N65" s="15">
        <v>267</v>
      </c>
      <c r="O65" s="15">
        <v>2646</v>
      </c>
      <c r="P65" s="15">
        <v>21142689</v>
      </c>
      <c r="Q65" s="16">
        <v>1.2400084295290368</v>
      </c>
      <c r="R65" s="17">
        <v>100</v>
      </c>
      <c r="S65" s="73">
        <f t="shared" ref="S65:AH65" si="2">S64+S22</f>
        <v>64029982.905243263</v>
      </c>
      <c r="T65" s="74">
        <f t="shared" si="2"/>
        <v>371065677.13459861</v>
      </c>
      <c r="U65" s="74">
        <f t="shared" si="2"/>
        <v>435095660.03984195</v>
      </c>
      <c r="V65" s="74">
        <f t="shared" si="2"/>
        <v>81511499.457634032</v>
      </c>
      <c r="W65" s="74">
        <f t="shared" si="2"/>
        <v>14087535.355523851</v>
      </c>
      <c r="X65" s="74">
        <f t="shared" si="2"/>
        <v>95599034.813157871</v>
      </c>
      <c r="Y65" s="74">
        <f t="shared" si="2"/>
        <v>22736149.241802212</v>
      </c>
      <c r="Z65" s="74">
        <f t="shared" si="2"/>
        <v>29288424.874947056</v>
      </c>
      <c r="AA65" s="74">
        <f t="shared" si="2"/>
        <v>52024574.116749279</v>
      </c>
      <c r="AB65" s="74">
        <f t="shared" si="2"/>
        <v>325762142.64623576</v>
      </c>
      <c r="AC65" s="74">
        <f t="shared" si="2"/>
        <v>4010362.9354509702</v>
      </c>
      <c r="AD65" s="74">
        <f t="shared" si="2"/>
        <v>7159839.7752012406</v>
      </c>
      <c r="AE65" s="74">
        <f t="shared" si="2"/>
        <v>11577495.12929791</v>
      </c>
      <c r="AF65" s="74">
        <f t="shared" si="2"/>
        <v>41359280.935032591</v>
      </c>
      <c r="AG65" s="74">
        <f t="shared" si="2"/>
        <v>38565487.234763689</v>
      </c>
      <c r="AH65" s="74">
        <f t="shared" si="2"/>
        <v>1011153877.6257312</v>
      </c>
      <c r="AI65" s="75">
        <v>-6.8819734701883126</v>
      </c>
      <c r="AJ65" s="76">
        <v>100</v>
      </c>
      <c r="AK65" s="114"/>
      <c r="AL65" s="113"/>
      <c r="AM65" s="113"/>
    </row>
    <row r="66" spans="1:39" s="61" customFormat="1" ht="7.95" customHeight="1" x14ac:dyDescent="0.25">
      <c r="A66" s="146" t="s">
        <v>79</v>
      </c>
      <c r="B66" s="147"/>
      <c r="C66" s="30">
        <v>95.738848544761737</v>
      </c>
      <c r="D66" s="31">
        <v>79.842029554518817</v>
      </c>
      <c r="E66" s="31">
        <v>3.1968544776872991</v>
      </c>
      <c r="F66" s="31">
        <v>5.2301767291757451E-2</v>
      </c>
      <c r="G66" s="31">
        <v>3.2491562449790559</v>
      </c>
      <c r="H66" s="31">
        <v>0.91753702662892112</v>
      </c>
      <c r="I66" s="31">
        <v>0.10235216532769317</v>
      </c>
      <c r="J66" s="31">
        <v>7.8883059765955041E-2</v>
      </c>
      <c r="K66" s="31">
        <v>9.2703439945600113E-4</v>
      </c>
      <c r="L66" s="31">
        <v>8.5135812194938871E-5</v>
      </c>
      <c r="M66" s="31">
        <v>7.8514137913110297E-4</v>
      </c>
      <c r="N66" s="31">
        <v>1.2628478808915933E-3</v>
      </c>
      <c r="O66" s="31">
        <v>1.2514964392656015E-2</v>
      </c>
      <c r="P66" s="31">
        <v>100</v>
      </c>
      <c r="Q66" s="31" t="s">
        <v>26</v>
      </c>
      <c r="R66" s="32" t="s">
        <v>26</v>
      </c>
      <c r="S66" s="92">
        <v>6.3323527545121037</v>
      </c>
      <c r="T66" s="93">
        <v>36.697401817066442</v>
      </c>
      <c r="U66" s="93">
        <v>43.02975457157855</v>
      </c>
      <c r="V66" s="93">
        <v>8.0612167096595257</v>
      </c>
      <c r="W66" s="93">
        <v>1.393210481484185</v>
      </c>
      <c r="X66" s="93">
        <v>9.4544271911437114</v>
      </c>
      <c r="Y66" s="93">
        <v>2.2485296847788927</v>
      </c>
      <c r="Z66" s="93">
        <v>2.8965279938721427</v>
      </c>
      <c r="AA66" s="93">
        <v>5.1450576786510354</v>
      </c>
      <c r="AB66" s="93">
        <v>32.21679450320039</v>
      </c>
      <c r="AC66" s="93">
        <v>0.39661158145985798</v>
      </c>
      <c r="AD66" s="93">
        <v>0.70808438586430156</v>
      </c>
      <c r="AE66" s="93">
        <v>1.1449758354746753</v>
      </c>
      <c r="AF66" s="93">
        <v>4.0902955876339471</v>
      </c>
      <c r="AG66" s="93">
        <v>3.8139986649935431</v>
      </c>
      <c r="AH66" s="93">
        <v>100</v>
      </c>
      <c r="AI66" s="93" t="s">
        <v>26</v>
      </c>
      <c r="AJ66" s="94" t="s">
        <v>26</v>
      </c>
      <c r="AL66" s="113"/>
      <c r="AM66" s="113"/>
    </row>
    <row r="67" spans="1:39" s="61" customFormat="1" ht="8.25" customHeight="1" x14ac:dyDescent="0.25">
      <c r="A67" s="95"/>
      <c r="B67" s="9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4"/>
      <c r="R67" s="34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7"/>
      <c r="AJ67" s="97"/>
      <c r="AL67" s="113"/>
      <c r="AM67" s="113"/>
    </row>
    <row r="68" spans="1:39" s="61" customFormat="1" ht="8.25" customHeight="1" x14ac:dyDescent="0.25">
      <c r="A68" s="148" t="s">
        <v>80</v>
      </c>
      <c r="B68" s="149"/>
      <c r="C68" s="35">
        <v>1513216</v>
      </c>
      <c r="D68" s="35">
        <v>1045345</v>
      </c>
      <c r="E68" s="36">
        <v>54849</v>
      </c>
      <c r="F68" s="36">
        <v>377</v>
      </c>
      <c r="G68" s="36">
        <v>55226</v>
      </c>
      <c r="H68" s="36">
        <v>22308</v>
      </c>
      <c r="I68" s="36">
        <v>2534</v>
      </c>
      <c r="J68" s="36">
        <v>458</v>
      </c>
      <c r="K68" s="36">
        <v>23</v>
      </c>
      <c r="L68" s="36" t="s">
        <v>26</v>
      </c>
      <c r="M68" s="36">
        <v>17</v>
      </c>
      <c r="N68" s="36">
        <v>14</v>
      </c>
      <c r="O68" s="36">
        <v>387</v>
      </c>
      <c r="P68" s="36">
        <v>1591649</v>
      </c>
      <c r="Q68" s="37">
        <v>1.1909083568935932</v>
      </c>
      <c r="R68" s="38">
        <v>7.5281294635701252</v>
      </c>
      <c r="S68" s="56">
        <v>5714331</v>
      </c>
      <c r="T68" s="98">
        <v>24831681</v>
      </c>
      <c r="U68" s="98">
        <v>30546012</v>
      </c>
      <c r="V68" s="98">
        <v>10489456</v>
      </c>
      <c r="W68" s="98">
        <v>1132737</v>
      </c>
      <c r="X68" s="98">
        <v>11622193</v>
      </c>
      <c r="Y68" s="98">
        <v>2552010</v>
      </c>
      <c r="Z68" s="98">
        <v>4102975</v>
      </c>
      <c r="AA68" s="98">
        <v>6654985</v>
      </c>
      <c r="AB68" s="98">
        <v>7784501</v>
      </c>
      <c r="AC68" s="98">
        <v>1106062</v>
      </c>
      <c r="AD68" s="98" t="s">
        <v>26</v>
      </c>
      <c r="AE68" s="98">
        <v>1712099</v>
      </c>
      <c r="AF68" s="98">
        <v>4018335</v>
      </c>
      <c r="AG68" s="98">
        <v>4196526</v>
      </c>
      <c r="AH68" s="98">
        <v>67640713</v>
      </c>
      <c r="AI68" s="99">
        <v>-5.1577485505426512</v>
      </c>
      <c r="AJ68" s="100">
        <v>6.689441974654005</v>
      </c>
      <c r="AL68" s="113"/>
      <c r="AM68" s="113"/>
    </row>
    <row r="69" spans="1:39" s="61" customFormat="1" ht="8.25" customHeight="1" x14ac:dyDescent="0.25">
      <c r="A69" s="136" t="s">
        <v>81</v>
      </c>
      <c r="B69" s="137"/>
      <c r="C69" s="25">
        <v>1372778</v>
      </c>
      <c r="D69" s="25">
        <v>1213661</v>
      </c>
      <c r="E69" s="3">
        <v>61888</v>
      </c>
      <c r="F69" s="3">
        <v>293</v>
      </c>
      <c r="G69" s="3">
        <v>62181</v>
      </c>
      <c r="H69" s="3">
        <v>13298</v>
      </c>
      <c r="I69" s="3">
        <v>1891</v>
      </c>
      <c r="J69" s="3">
        <v>3543</v>
      </c>
      <c r="K69" s="3">
        <v>19</v>
      </c>
      <c r="L69" s="3" t="s">
        <v>26</v>
      </c>
      <c r="M69" s="3">
        <v>10</v>
      </c>
      <c r="N69" s="3">
        <v>10</v>
      </c>
      <c r="O69" s="3">
        <v>171</v>
      </c>
      <c r="P69" s="3">
        <v>1452010</v>
      </c>
      <c r="Q69" s="4">
        <v>1.3512004310886383</v>
      </c>
      <c r="R69" s="5">
        <v>6.8676694813985115</v>
      </c>
      <c r="S69" s="62">
        <v>5957298.0965569997</v>
      </c>
      <c r="T69" s="58">
        <v>30623266.027094997</v>
      </c>
      <c r="U69" s="58">
        <v>36580564.123651996</v>
      </c>
      <c r="V69" s="58">
        <v>8878183.3978909999</v>
      </c>
      <c r="W69" s="58">
        <v>767288.24556199997</v>
      </c>
      <c r="X69" s="58">
        <v>9645471.6434530001</v>
      </c>
      <c r="Y69" s="58">
        <v>1833982.1388440002</v>
      </c>
      <c r="Z69" s="58">
        <v>3731390.9730530009</v>
      </c>
      <c r="AA69" s="58">
        <v>5565373.111897001</v>
      </c>
      <c r="AB69" s="58">
        <v>756800.899462</v>
      </c>
      <c r="AC69" s="58">
        <v>146411.83777100002</v>
      </c>
      <c r="AD69" s="58" t="s">
        <v>26</v>
      </c>
      <c r="AE69" s="58">
        <v>25146.966403000002</v>
      </c>
      <c r="AF69" s="58">
        <v>1882047.461963</v>
      </c>
      <c r="AG69" s="58">
        <v>3334.1024710000002</v>
      </c>
      <c r="AH69" s="58">
        <v>54605150.147072002</v>
      </c>
      <c r="AI69" s="59">
        <v>-7.0250706617906156</v>
      </c>
      <c r="AJ69" s="60">
        <v>5.4002680815340867</v>
      </c>
      <c r="AL69" s="113"/>
      <c r="AM69" s="113"/>
    </row>
    <row r="70" spans="1:39" s="61" customFormat="1" ht="8.25" customHeight="1" x14ac:dyDescent="0.25">
      <c r="A70" s="136" t="s">
        <v>82</v>
      </c>
      <c r="B70" s="137"/>
      <c r="C70" s="25">
        <v>2489053</v>
      </c>
      <c r="D70" s="25">
        <v>1848167</v>
      </c>
      <c r="E70" s="3">
        <v>110030</v>
      </c>
      <c r="F70" s="3">
        <v>812</v>
      </c>
      <c r="G70" s="3">
        <v>110842</v>
      </c>
      <c r="H70" s="3">
        <v>48418</v>
      </c>
      <c r="I70" s="3">
        <v>2629</v>
      </c>
      <c r="J70" s="3">
        <v>507</v>
      </c>
      <c r="K70" s="3">
        <v>30</v>
      </c>
      <c r="L70" s="3" t="s">
        <v>26</v>
      </c>
      <c r="M70" s="3">
        <v>8</v>
      </c>
      <c r="N70" s="3">
        <v>20</v>
      </c>
      <c r="O70" s="3">
        <v>309</v>
      </c>
      <c r="P70" s="3">
        <v>2649187</v>
      </c>
      <c r="Q70" s="4">
        <v>1.0504846762359692</v>
      </c>
      <c r="R70" s="5">
        <v>12.530038161181864</v>
      </c>
      <c r="S70" s="62">
        <v>7103837</v>
      </c>
      <c r="T70" s="58">
        <v>42599714</v>
      </c>
      <c r="U70" s="58">
        <v>49703551</v>
      </c>
      <c r="V70" s="58">
        <v>11009920</v>
      </c>
      <c r="W70" s="58">
        <v>1273527</v>
      </c>
      <c r="X70" s="58">
        <v>12283447</v>
      </c>
      <c r="Y70" s="58">
        <v>2436476</v>
      </c>
      <c r="Z70" s="58">
        <v>4021787</v>
      </c>
      <c r="AA70" s="58">
        <v>6458263</v>
      </c>
      <c r="AB70" s="58">
        <v>2910484.5918765999</v>
      </c>
      <c r="AC70" s="58">
        <v>1576378.2330008999</v>
      </c>
      <c r="AD70" s="58">
        <v>1599969</v>
      </c>
      <c r="AE70" s="58">
        <v>1812606</v>
      </c>
      <c r="AF70" s="58">
        <v>4352383</v>
      </c>
      <c r="AG70" s="58">
        <v>889902.7669991001</v>
      </c>
      <c r="AH70" s="58">
        <v>81586984.591876596</v>
      </c>
      <c r="AI70" s="59">
        <v>-9.9681042298544984</v>
      </c>
      <c r="AJ70" s="60">
        <v>8.0686819388546205</v>
      </c>
      <c r="AL70" s="113"/>
      <c r="AM70" s="113"/>
    </row>
    <row r="71" spans="1:39" s="61" customFormat="1" ht="8.25" customHeight="1" x14ac:dyDescent="0.25">
      <c r="A71" s="136" t="s">
        <v>83</v>
      </c>
      <c r="B71" s="137"/>
      <c r="C71" s="25">
        <v>936153</v>
      </c>
      <c r="D71" s="25">
        <v>774985</v>
      </c>
      <c r="E71" s="3">
        <v>26573</v>
      </c>
      <c r="F71" s="3">
        <v>178</v>
      </c>
      <c r="G71" s="3">
        <v>26751</v>
      </c>
      <c r="H71" s="3">
        <v>4970</v>
      </c>
      <c r="I71" s="3">
        <v>738</v>
      </c>
      <c r="J71" s="3">
        <v>738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968686</v>
      </c>
      <c r="Q71" s="4">
        <v>-0.37979018469136006</v>
      </c>
      <c r="R71" s="5">
        <v>4.5816594095481422</v>
      </c>
      <c r="S71" s="62">
        <v>4729311.3248899998</v>
      </c>
      <c r="T71" s="58">
        <v>17936070.60943</v>
      </c>
      <c r="U71" s="58">
        <v>22665381.934319995</v>
      </c>
      <c r="V71" s="58">
        <v>3445683.5327600003</v>
      </c>
      <c r="W71" s="58">
        <v>438829.96845000004</v>
      </c>
      <c r="X71" s="58">
        <v>3884513.5012100004</v>
      </c>
      <c r="Y71" s="58">
        <v>909707.30083999992</v>
      </c>
      <c r="Z71" s="58">
        <v>777720.01178000006</v>
      </c>
      <c r="AA71" s="58">
        <v>1687427.31262</v>
      </c>
      <c r="AB71" s="58">
        <v>2449735.2245494295</v>
      </c>
      <c r="AC71" s="58">
        <v>32574.747540000004</v>
      </c>
      <c r="AD71" s="58">
        <v>1326795.7654500001</v>
      </c>
      <c r="AE71" s="58">
        <v>1394115.8530000001</v>
      </c>
      <c r="AF71" s="58">
        <v>3050638.3591499999</v>
      </c>
      <c r="AG71" s="58">
        <v>1011.38847</v>
      </c>
      <c r="AH71" s="58">
        <v>36492194.086309433</v>
      </c>
      <c r="AI71" s="59">
        <v>-11.499604757664455</v>
      </c>
      <c r="AJ71" s="60">
        <v>3.6089568551440165</v>
      </c>
      <c r="AL71" s="113"/>
      <c r="AM71" s="113"/>
    </row>
    <row r="72" spans="1:39" s="61" customFormat="1" ht="8.25" customHeight="1" x14ac:dyDescent="0.25">
      <c r="A72" s="142" t="s">
        <v>84</v>
      </c>
      <c r="B72" s="143"/>
      <c r="C72" s="25">
        <v>3234568</v>
      </c>
      <c r="D72" s="25">
        <v>2295993</v>
      </c>
      <c r="E72" s="3">
        <v>90995</v>
      </c>
      <c r="F72" s="3">
        <v>1208</v>
      </c>
      <c r="G72" s="3">
        <v>92203</v>
      </c>
      <c r="H72" s="3">
        <v>27846</v>
      </c>
      <c r="I72" s="3">
        <v>2484</v>
      </c>
      <c r="J72" s="3">
        <v>2428</v>
      </c>
      <c r="K72" s="3">
        <v>35</v>
      </c>
      <c r="L72" s="3">
        <v>4</v>
      </c>
      <c r="M72" s="3">
        <v>46</v>
      </c>
      <c r="N72" s="3">
        <v>26</v>
      </c>
      <c r="O72" s="3">
        <v>1175</v>
      </c>
      <c r="P72" s="3">
        <v>3358331</v>
      </c>
      <c r="Q72" s="4">
        <v>0.3715893311750687</v>
      </c>
      <c r="R72" s="5">
        <v>15.884124294691182</v>
      </c>
      <c r="S72" s="62">
        <v>11510013.436339002</v>
      </c>
      <c r="T72" s="58">
        <v>51337822.80226101</v>
      </c>
      <c r="U72" s="58">
        <v>62847836.238600008</v>
      </c>
      <c r="V72" s="58">
        <v>12458151.017847002</v>
      </c>
      <c r="W72" s="58">
        <v>3018156.7266539996</v>
      </c>
      <c r="X72" s="58">
        <v>15476307.744501</v>
      </c>
      <c r="Y72" s="58">
        <v>5737070.6325690001</v>
      </c>
      <c r="Z72" s="58">
        <v>4237849.9507060004</v>
      </c>
      <c r="AA72" s="58">
        <v>9974920.5832750015</v>
      </c>
      <c r="AB72" s="58">
        <v>60780204.457786694</v>
      </c>
      <c r="AC72" s="58">
        <v>81580.984432999991</v>
      </c>
      <c r="AD72" s="58">
        <v>666958.59675700008</v>
      </c>
      <c r="AE72" s="58">
        <v>1961250.9763440001</v>
      </c>
      <c r="AF72" s="58">
        <v>7408314.5182889998</v>
      </c>
      <c r="AG72" s="58">
        <v>12321860.988390001</v>
      </c>
      <c r="AH72" s="58">
        <v>171519235.08837572</v>
      </c>
      <c r="AI72" s="59">
        <v>-5.1548960689657264</v>
      </c>
      <c r="AJ72" s="60">
        <v>16.962682972616339</v>
      </c>
      <c r="AL72" s="113"/>
      <c r="AM72" s="113"/>
    </row>
    <row r="73" spans="1:39" s="61" customFormat="1" ht="8.25" customHeight="1" x14ac:dyDescent="0.25">
      <c r="A73" s="142" t="s">
        <v>85</v>
      </c>
      <c r="B73" s="143"/>
      <c r="C73" s="25">
        <v>795636</v>
      </c>
      <c r="D73" s="25">
        <v>638442</v>
      </c>
      <c r="E73" s="3">
        <v>21930</v>
      </c>
      <c r="F73" s="3">
        <v>373</v>
      </c>
      <c r="G73" s="3">
        <v>22303</v>
      </c>
      <c r="H73" s="3">
        <v>9515</v>
      </c>
      <c r="I73" s="3">
        <v>669</v>
      </c>
      <c r="J73" s="3">
        <v>448</v>
      </c>
      <c r="K73" s="3">
        <v>1</v>
      </c>
      <c r="L73" s="3" t="s">
        <v>26</v>
      </c>
      <c r="M73" s="3">
        <v>1</v>
      </c>
      <c r="N73" s="3">
        <v>12</v>
      </c>
      <c r="O73" s="3">
        <v>26</v>
      </c>
      <c r="P73" s="3">
        <v>827942</v>
      </c>
      <c r="Q73" s="4">
        <v>2.5335486523571986</v>
      </c>
      <c r="R73" s="5">
        <v>3.9159730344612265</v>
      </c>
      <c r="S73" s="62">
        <v>3624061</v>
      </c>
      <c r="T73" s="58">
        <v>14067104</v>
      </c>
      <c r="U73" s="58">
        <v>17691165</v>
      </c>
      <c r="V73" s="58">
        <v>3104211</v>
      </c>
      <c r="W73" s="58">
        <v>616130</v>
      </c>
      <c r="X73" s="58">
        <v>3720341</v>
      </c>
      <c r="Y73" s="58">
        <v>750282</v>
      </c>
      <c r="Z73" s="58">
        <v>926383</v>
      </c>
      <c r="AA73" s="58">
        <v>1676665</v>
      </c>
      <c r="AB73" s="58">
        <v>7133327.4320560992</v>
      </c>
      <c r="AC73" s="58">
        <v>28790</v>
      </c>
      <c r="AD73" s="58" t="s">
        <v>26</v>
      </c>
      <c r="AE73" s="58">
        <v>65409</v>
      </c>
      <c r="AF73" s="58">
        <v>2077712</v>
      </c>
      <c r="AG73" s="58">
        <v>5873702</v>
      </c>
      <c r="AH73" s="58">
        <v>38267111.432056099</v>
      </c>
      <c r="AI73" s="59">
        <v>6.3209507883420928</v>
      </c>
      <c r="AJ73" s="60">
        <v>3.784490288598203</v>
      </c>
      <c r="AL73" s="113"/>
      <c r="AM73" s="113"/>
    </row>
    <row r="74" spans="1:39" s="61" customFormat="1" ht="8.25" customHeight="1" x14ac:dyDescent="0.25">
      <c r="A74" s="142" t="s">
        <v>86</v>
      </c>
      <c r="B74" s="143"/>
      <c r="C74" s="25">
        <v>1190819</v>
      </c>
      <c r="D74" s="25">
        <v>1058008</v>
      </c>
      <c r="E74" s="3">
        <v>21820</v>
      </c>
      <c r="F74" s="3">
        <v>1056</v>
      </c>
      <c r="G74" s="3">
        <v>22876</v>
      </c>
      <c r="H74" s="3">
        <v>7617</v>
      </c>
      <c r="I74" s="3">
        <v>1064</v>
      </c>
      <c r="J74" s="3">
        <v>1176</v>
      </c>
      <c r="K74" s="3">
        <v>16</v>
      </c>
      <c r="L74" s="3">
        <v>1</v>
      </c>
      <c r="M74" s="3">
        <v>31</v>
      </c>
      <c r="N74" s="3">
        <v>12</v>
      </c>
      <c r="O74" s="3">
        <v>58</v>
      </c>
      <c r="P74" s="3">
        <v>1222606</v>
      </c>
      <c r="Q74" s="4">
        <v>0.97572498001308239</v>
      </c>
      <c r="R74" s="5">
        <v>5.7826419335780797</v>
      </c>
      <c r="S74" s="62">
        <v>278561.23777260003</v>
      </c>
      <c r="T74" s="58">
        <v>25834527.195387501</v>
      </c>
      <c r="U74" s="58">
        <v>26113088.4331601</v>
      </c>
      <c r="V74" s="58">
        <v>2412424.0992840002</v>
      </c>
      <c r="W74" s="58">
        <v>1113086.52569</v>
      </c>
      <c r="X74" s="58">
        <v>3525510.6249739998</v>
      </c>
      <c r="Y74" s="58">
        <v>801145.66693170019</v>
      </c>
      <c r="Z74" s="58">
        <v>1410807.4888946</v>
      </c>
      <c r="AA74" s="58">
        <v>2211953.1558263004</v>
      </c>
      <c r="AB74" s="58">
        <v>9966783.3319933005</v>
      </c>
      <c r="AC74" s="58">
        <v>206398.88730200002</v>
      </c>
      <c r="AD74" s="58">
        <v>2261.4231990000003</v>
      </c>
      <c r="AE74" s="58">
        <v>411297.66117400001</v>
      </c>
      <c r="AF74" s="58">
        <v>3316850.4656433999</v>
      </c>
      <c r="AG74" s="58">
        <v>103531.43421009999</v>
      </c>
      <c r="AH74" s="58">
        <v>45857675.417482205</v>
      </c>
      <c r="AI74" s="59">
        <v>-4.8824159743226483</v>
      </c>
      <c r="AJ74" s="60">
        <v>4.5351718690157004</v>
      </c>
      <c r="AL74" s="113"/>
      <c r="AM74" s="113"/>
    </row>
    <row r="75" spans="1:39" s="61" customFormat="1" ht="8.25" customHeight="1" x14ac:dyDescent="0.25">
      <c r="A75" s="136" t="s">
        <v>87</v>
      </c>
      <c r="B75" s="137"/>
      <c r="C75" s="25">
        <v>755574</v>
      </c>
      <c r="D75" s="25">
        <v>703332</v>
      </c>
      <c r="E75" s="3">
        <v>21272</v>
      </c>
      <c r="F75" s="3">
        <v>174</v>
      </c>
      <c r="G75" s="3">
        <v>21446</v>
      </c>
      <c r="H75" s="3">
        <v>6522</v>
      </c>
      <c r="I75" s="3">
        <v>743</v>
      </c>
      <c r="J75" s="3">
        <v>981</v>
      </c>
      <c r="K75" s="3">
        <v>4</v>
      </c>
      <c r="L75" s="3" t="s">
        <v>26</v>
      </c>
      <c r="M75" s="3">
        <v>3</v>
      </c>
      <c r="N75" s="3">
        <v>8</v>
      </c>
      <c r="O75" s="3">
        <v>94</v>
      </c>
      <c r="P75" s="3">
        <v>784632</v>
      </c>
      <c r="Q75" s="4">
        <v>1.1720835235229039</v>
      </c>
      <c r="R75" s="5">
        <v>3.7111268107855158</v>
      </c>
      <c r="S75" s="62">
        <v>3688857</v>
      </c>
      <c r="T75" s="58">
        <v>12459351</v>
      </c>
      <c r="U75" s="58">
        <v>16148208</v>
      </c>
      <c r="V75" s="58">
        <v>2665952</v>
      </c>
      <c r="W75" s="58">
        <v>296017</v>
      </c>
      <c r="X75" s="58">
        <v>2961969</v>
      </c>
      <c r="Y75" s="58">
        <v>581391</v>
      </c>
      <c r="Z75" s="58">
        <v>890004</v>
      </c>
      <c r="AA75" s="58">
        <v>1471395</v>
      </c>
      <c r="AB75" s="58">
        <v>9092978.4169999994</v>
      </c>
      <c r="AC75" s="58">
        <v>112473</v>
      </c>
      <c r="AD75" s="58" t="s">
        <v>26</v>
      </c>
      <c r="AE75" s="58">
        <v>299819</v>
      </c>
      <c r="AF75" s="58">
        <v>1643774</v>
      </c>
      <c r="AG75" s="58">
        <v>606641</v>
      </c>
      <c r="AH75" s="58">
        <v>32337257.417000003</v>
      </c>
      <c r="AI75" s="59">
        <v>-7.056384040543179</v>
      </c>
      <c r="AJ75" s="60">
        <v>3.1980474113345223</v>
      </c>
      <c r="AL75" s="113"/>
      <c r="AM75" s="113"/>
    </row>
    <row r="76" spans="1:39" s="61" customFormat="1" ht="8.25" customHeight="1" x14ac:dyDescent="0.25">
      <c r="A76" s="136" t="s">
        <v>88</v>
      </c>
      <c r="B76" s="137"/>
      <c r="C76" s="25">
        <v>662443</v>
      </c>
      <c r="D76" s="25">
        <v>578309</v>
      </c>
      <c r="E76" s="3">
        <v>20773</v>
      </c>
      <c r="F76" s="3">
        <v>149</v>
      </c>
      <c r="G76" s="3">
        <v>20922</v>
      </c>
      <c r="H76" s="3">
        <v>6258</v>
      </c>
      <c r="I76" s="3">
        <v>1230</v>
      </c>
      <c r="J76" s="3">
        <v>182</v>
      </c>
      <c r="K76" s="3">
        <v>8</v>
      </c>
      <c r="L76" s="3">
        <v>2</v>
      </c>
      <c r="M76" s="3">
        <v>1</v>
      </c>
      <c r="N76" s="3">
        <v>5</v>
      </c>
      <c r="O76" s="3">
        <v>61</v>
      </c>
      <c r="P76" s="3">
        <v>689882</v>
      </c>
      <c r="Q76" s="4">
        <v>0.36472085833787959</v>
      </c>
      <c r="R76" s="5">
        <v>3.2629813549260458</v>
      </c>
      <c r="S76" s="62">
        <v>2234196</v>
      </c>
      <c r="T76" s="58">
        <v>12987281</v>
      </c>
      <c r="U76" s="58">
        <v>15221477</v>
      </c>
      <c r="V76" s="58">
        <v>2922388</v>
      </c>
      <c r="W76" s="58">
        <v>266207</v>
      </c>
      <c r="X76" s="58">
        <v>3188595</v>
      </c>
      <c r="Y76" s="58">
        <v>1197124</v>
      </c>
      <c r="Z76" s="58">
        <v>1843912</v>
      </c>
      <c r="AA76" s="58">
        <v>3041036</v>
      </c>
      <c r="AB76" s="58">
        <v>3439350</v>
      </c>
      <c r="AC76" s="58">
        <v>9401</v>
      </c>
      <c r="AD76" s="58">
        <v>1463702</v>
      </c>
      <c r="AE76" s="58">
        <v>39151</v>
      </c>
      <c r="AF76" s="58">
        <v>1342507</v>
      </c>
      <c r="AG76" s="58">
        <v>507972</v>
      </c>
      <c r="AH76" s="58">
        <v>28253191</v>
      </c>
      <c r="AI76" s="59">
        <v>-10.485140979214433</v>
      </c>
      <c r="AJ76" s="60">
        <v>2.7941468002165615</v>
      </c>
      <c r="AL76" s="113"/>
      <c r="AM76" s="113"/>
    </row>
    <row r="77" spans="1:39" s="61" customFormat="1" ht="8.25" customHeight="1" x14ac:dyDescent="0.25">
      <c r="A77" s="136" t="s">
        <v>89</v>
      </c>
      <c r="B77" s="137"/>
      <c r="C77" s="25">
        <v>611249</v>
      </c>
      <c r="D77" s="25">
        <v>566104</v>
      </c>
      <c r="E77" s="3">
        <v>23079</v>
      </c>
      <c r="F77" s="3">
        <v>237</v>
      </c>
      <c r="G77" s="3">
        <v>23316</v>
      </c>
      <c r="H77" s="3">
        <v>3473</v>
      </c>
      <c r="I77" s="3">
        <v>441</v>
      </c>
      <c r="J77" s="3">
        <v>558</v>
      </c>
      <c r="K77" s="3">
        <v>2</v>
      </c>
      <c r="L77" s="3">
        <v>2</v>
      </c>
      <c r="M77" s="3">
        <v>1</v>
      </c>
      <c r="N77" s="3">
        <v>8</v>
      </c>
      <c r="O77" s="3">
        <v>21</v>
      </c>
      <c r="P77" s="3">
        <v>638630</v>
      </c>
      <c r="Q77" s="4">
        <v>1.0935189846166509</v>
      </c>
      <c r="R77" s="5">
        <v>3.0205713190029897</v>
      </c>
      <c r="S77" s="62">
        <v>86741.139861400006</v>
      </c>
      <c r="T77" s="58">
        <v>13921458.76973</v>
      </c>
      <c r="U77" s="58">
        <v>14008199.909591399</v>
      </c>
      <c r="V77" s="58">
        <v>2707283.37335</v>
      </c>
      <c r="W77" s="58">
        <v>523511.62088</v>
      </c>
      <c r="X77" s="58">
        <v>3230794.9942300003</v>
      </c>
      <c r="Y77" s="58">
        <v>373958.26488000003</v>
      </c>
      <c r="Z77" s="58">
        <v>536599.47446000006</v>
      </c>
      <c r="AA77" s="58">
        <v>910557.73934000009</v>
      </c>
      <c r="AB77" s="58">
        <v>55692740.959395945</v>
      </c>
      <c r="AC77" s="58">
        <v>13783.220660000001</v>
      </c>
      <c r="AD77" s="58">
        <v>741590.15289999999</v>
      </c>
      <c r="AE77" s="58">
        <v>696345.06114999996</v>
      </c>
      <c r="AF77" s="58">
        <v>1536563.39334</v>
      </c>
      <c r="AG77" s="58">
        <v>1629848.28828</v>
      </c>
      <c r="AH77" s="58">
        <v>78460423.718887344</v>
      </c>
      <c r="AI77" s="59">
        <v>-18.923211769272314</v>
      </c>
      <c r="AJ77" s="60">
        <v>7.7594754474906811</v>
      </c>
      <c r="AL77" s="113"/>
      <c r="AM77" s="113"/>
    </row>
    <row r="78" spans="1:39" s="61" customFormat="1" ht="8.25" customHeight="1" x14ac:dyDescent="0.25">
      <c r="A78" s="136" t="s">
        <v>90</v>
      </c>
      <c r="B78" s="137"/>
      <c r="C78" s="25">
        <v>468633</v>
      </c>
      <c r="D78" s="25">
        <v>395569</v>
      </c>
      <c r="E78" s="3">
        <v>9620</v>
      </c>
      <c r="F78" s="3">
        <v>369</v>
      </c>
      <c r="G78" s="3">
        <v>9989</v>
      </c>
      <c r="H78" s="3">
        <v>6549</v>
      </c>
      <c r="I78" s="3">
        <v>597</v>
      </c>
      <c r="J78" s="3">
        <v>513</v>
      </c>
      <c r="K78" s="3">
        <v>2</v>
      </c>
      <c r="L78" s="3" t="s">
        <v>26</v>
      </c>
      <c r="M78" s="3">
        <v>4</v>
      </c>
      <c r="N78" s="3">
        <v>3</v>
      </c>
      <c r="O78" s="3">
        <v>33</v>
      </c>
      <c r="P78" s="3">
        <v>485726</v>
      </c>
      <c r="Q78" s="4">
        <v>2.2380881216940685</v>
      </c>
      <c r="R78" s="5">
        <v>2.297370973011049</v>
      </c>
      <c r="S78" s="62">
        <v>195520.57500000001</v>
      </c>
      <c r="T78" s="58">
        <v>9754042.1779999994</v>
      </c>
      <c r="U78" s="58">
        <v>9949562.7530000005</v>
      </c>
      <c r="V78" s="58">
        <v>1245103.902</v>
      </c>
      <c r="W78" s="58">
        <v>259272.56599999996</v>
      </c>
      <c r="X78" s="58">
        <v>1504376.4679999999</v>
      </c>
      <c r="Y78" s="58">
        <v>505245.24499999994</v>
      </c>
      <c r="Z78" s="58">
        <v>609468.96199999994</v>
      </c>
      <c r="AA78" s="58">
        <v>1114714.2069999999</v>
      </c>
      <c r="AB78" s="58">
        <v>20635044.685572006</v>
      </c>
      <c r="AC78" s="58" t="s">
        <v>26</v>
      </c>
      <c r="AD78" s="58" t="s">
        <v>26</v>
      </c>
      <c r="AE78" s="58">
        <v>40458.182000000001</v>
      </c>
      <c r="AF78" s="58">
        <v>743691.14</v>
      </c>
      <c r="AG78" s="58">
        <v>2397382.642</v>
      </c>
      <c r="AH78" s="58">
        <v>36385230.077572003</v>
      </c>
      <c r="AI78" s="59">
        <v>-2.379358037726218</v>
      </c>
      <c r="AJ78" s="60">
        <v>3.5983784697590866</v>
      </c>
      <c r="AK78" s="45"/>
      <c r="AL78" s="113"/>
      <c r="AM78" s="113"/>
    </row>
    <row r="79" spans="1:39" s="61" customFormat="1" ht="8.25" customHeight="1" x14ac:dyDescent="0.25">
      <c r="A79" s="138" t="s">
        <v>91</v>
      </c>
      <c r="B79" s="139"/>
      <c r="C79" s="39">
        <v>661696</v>
      </c>
      <c r="D79" s="39">
        <v>553884</v>
      </c>
      <c r="E79" s="40">
        <v>11617</v>
      </c>
      <c r="F79" s="40">
        <v>3728</v>
      </c>
      <c r="G79" s="40">
        <v>15345</v>
      </c>
      <c r="H79" s="40">
        <v>5075</v>
      </c>
      <c r="I79" s="40">
        <v>848</v>
      </c>
      <c r="J79" s="40">
        <v>549</v>
      </c>
      <c r="K79" s="40">
        <v>3</v>
      </c>
      <c r="L79" s="40" t="s">
        <v>26</v>
      </c>
      <c r="M79" s="40">
        <v>7</v>
      </c>
      <c r="N79" s="40">
        <v>3</v>
      </c>
      <c r="O79" s="40">
        <v>111</v>
      </c>
      <c r="P79" s="40">
        <v>682789</v>
      </c>
      <c r="Q79" s="31">
        <v>2.468713372622644</v>
      </c>
      <c r="R79" s="32">
        <v>3.2294331151538955</v>
      </c>
      <c r="S79" s="101">
        <v>2999012</v>
      </c>
      <c r="T79" s="102">
        <v>11000317</v>
      </c>
      <c r="U79" s="102">
        <v>13999329</v>
      </c>
      <c r="V79" s="102">
        <v>1269891</v>
      </c>
      <c r="W79" s="102">
        <v>1153640</v>
      </c>
      <c r="X79" s="102">
        <v>2423531</v>
      </c>
      <c r="Y79" s="102">
        <v>605185</v>
      </c>
      <c r="Z79" s="102">
        <v>736435</v>
      </c>
      <c r="AA79" s="102">
        <v>1341620</v>
      </c>
      <c r="AB79" s="102">
        <v>20842868.893000003</v>
      </c>
      <c r="AC79" s="102">
        <v>334436</v>
      </c>
      <c r="AD79" s="102" t="s">
        <v>26</v>
      </c>
      <c r="AE79" s="102">
        <v>276567</v>
      </c>
      <c r="AF79" s="102">
        <v>715696</v>
      </c>
      <c r="AG79" s="102">
        <v>402183</v>
      </c>
      <c r="AH79" s="102">
        <v>40336230.892999999</v>
      </c>
      <c r="AI79" s="93">
        <v>-6.161237857920888</v>
      </c>
      <c r="AJ79" s="94">
        <v>3.9891193346079863</v>
      </c>
      <c r="AK79" s="45"/>
      <c r="AL79" s="113"/>
      <c r="AM79" s="113"/>
    </row>
    <row r="80" spans="1:39" s="105" customFormat="1" ht="9.6" customHeight="1" x14ac:dyDescent="0.25">
      <c r="A80" s="103" t="s">
        <v>92</v>
      </c>
      <c r="B80" s="95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4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</row>
    <row r="81" spans="1:36" s="105" customFormat="1" ht="9.6" customHeight="1" x14ac:dyDescent="0.25">
      <c r="A81" s="103"/>
      <c r="B81" s="95"/>
      <c r="C81" s="104"/>
      <c r="D81" s="104"/>
      <c r="E81" s="104"/>
      <c r="F81" s="104"/>
      <c r="G81" s="4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4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</row>
    <row r="82" spans="1:36" ht="9" customHeight="1" x14ac:dyDescent="0.25">
      <c r="A82" s="140"/>
      <c r="B82" s="1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106"/>
      <c r="R82" s="106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141"/>
      <c r="AJ82" s="141"/>
    </row>
    <row r="83" spans="1:36" s="61" customFormat="1" ht="11.25" customHeight="1" x14ac:dyDescent="0.2">
      <c r="A83" s="95"/>
      <c r="B83" s="95"/>
      <c r="C83" s="108"/>
      <c r="D83" s="108"/>
      <c r="E83" s="108"/>
      <c r="F83" s="108"/>
      <c r="G83" s="108"/>
      <c r="H83" s="109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</row>
    <row r="84" spans="1:36" ht="11.25" customHeight="1" x14ac:dyDescent="0.25">
      <c r="A84" s="140"/>
      <c r="B84" s="140"/>
      <c r="C84" s="41"/>
      <c r="D84" s="42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106"/>
      <c r="R84" s="106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141"/>
      <c r="AJ84" s="141"/>
    </row>
    <row r="85" spans="1:36" ht="11.25" customHeight="1" x14ac:dyDescent="0.2">
      <c r="A85" s="108"/>
      <c r="B85" s="95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</row>
    <row r="86" spans="1:36" ht="11.25" customHeight="1" x14ac:dyDescent="0.2">
      <c r="A86" s="108"/>
      <c r="B86" s="95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</row>
    <row r="87" spans="1:36" ht="11.25" customHeight="1" x14ac:dyDescent="0.2">
      <c r="A87" s="108"/>
      <c r="B87" s="95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</row>
    <row r="88" spans="1:36" ht="11.25" customHeight="1" x14ac:dyDescent="0.2">
      <c r="A88" s="108"/>
      <c r="B88" s="95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</row>
    <row r="89" spans="1:36" ht="11.25" customHeight="1" x14ac:dyDescent="0.2">
      <c r="A89" s="108"/>
      <c r="B89" s="95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</row>
    <row r="90" spans="1:36" ht="11.25" customHeight="1" x14ac:dyDescent="0.2">
      <c r="A90" s="108"/>
      <c r="B90" s="95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</row>
    <row r="91" spans="1:36" ht="11.25" customHeight="1" x14ac:dyDescent="0.2">
      <c r="A91" s="108"/>
      <c r="B91" s="95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</row>
    <row r="92" spans="1:36" ht="11.25" customHeight="1" x14ac:dyDescent="0.2">
      <c r="A92" s="108"/>
      <c r="B92" s="95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</row>
    <row r="93" spans="1:36" ht="11.25" customHeight="1" x14ac:dyDescent="0.2">
      <c r="A93" s="108"/>
      <c r="B93" s="95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</row>
    <row r="94" spans="1:36" ht="11.25" customHeight="1" x14ac:dyDescent="0.2">
      <c r="A94" s="108"/>
      <c r="B94" s="95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</row>
    <row r="95" spans="1:36" ht="11.25" customHeight="1" x14ac:dyDescent="0.2">
      <c r="A95" s="108"/>
      <c r="B95" s="95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</row>
    <row r="96" spans="1:36" ht="11.25" customHeight="1" x14ac:dyDescent="0.2">
      <c r="A96" s="108"/>
      <c r="B96" s="95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</row>
    <row r="97" spans="2:2" ht="11.25" customHeight="1" x14ac:dyDescent="0.25">
      <c r="B97" s="95"/>
    </row>
    <row r="98" spans="2:2" ht="11.25" customHeight="1" x14ac:dyDescent="0.25">
      <c r="B98" s="95"/>
    </row>
    <row r="99" spans="2:2" ht="11.25" customHeight="1" x14ac:dyDescent="0.25">
      <c r="B99" s="95"/>
    </row>
    <row r="100" spans="2:2" ht="11.25" customHeight="1" x14ac:dyDescent="0.25">
      <c r="B100" s="95"/>
    </row>
    <row r="101" spans="2:2" ht="11.25" customHeight="1" x14ac:dyDescent="0.25">
      <c r="B101" s="95"/>
    </row>
    <row r="102" spans="2:2" ht="11.25" customHeight="1" x14ac:dyDescent="0.25">
      <c r="B102" s="95"/>
    </row>
    <row r="103" spans="2:2" ht="11.25" customHeight="1" x14ac:dyDescent="0.25">
      <c r="B103" s="95"/>
    </row>
    <row r="104" spans="2:2" ht="11.25" customHeight="1" x14ac:dyDescent="0.25">
      <c r="B104" s="95"/>
    </row>
    <row r="105" spans="2:2" ht="11.25" customHeight="1" x14ac:dyDescent="0.25">
      <c r="B105" s="95"/>
    </row>
    <row r="106" spans="2:2" ht="11.25" customHeight="1" x14ac:dyDescent="0.25">
      <c r="B106" s="95"/>
    </row>
    <row r="107" spans="2:2" ht="11.25" customHeight="1" x14ac:dyDescent="0.25">
      <c r="B107" s="95"/>
    </row>
    <row r="108" spans="2:2" ht="11.25" customHeight="1" x14ac:dyDescent="0.25">
      <c r="B108" s="95"/>
    </row>
    <row r="109" spans="2:2" ht="11.25" customHeight="1" x14ac:dyDescent="0.25">
      <c r="B109" s="95"/>
    </row>
    <row r="110" spans="2:2" ht="11.25" customHeight="1" x14ac:dyDescent="0.25">
      <c r="B110" s="95"/>
    </row>
    <row r="111" spans="2:2" ht="11.25" customHeight="1" x14ac:dyDescent="0.25">
      <c r="B111" s="110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(2023년)_부피</vt:lpstr>
      <vt:lpstr>(2023년)_열량</vt:lpstr>
      <vt:lpstr>'(2023년)_부피'!Print_Area</vt:lpstr>
      <vt:lpstr>'(2023년)_열량'!Print_Area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dcterms:created xsi:type="dcterms:W3CDTF">2021-06-18T07:32:27Z</dcterms:created>
  <dcterms:modified xsi:type="dcterms:W3CDTF">2025-11-07T14:39:24Z</dcterms:modified>
</cp:coreProperties>
</file>